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 II" sheetId="1" r:id="rId5"/>
  </sheets>
  <definedNames/>
  <calcPr/>
</workbook>
</file>

<file path=xl/sharedStrings.xml><?xml version="1.0" encoding="utf-8"?>
<sst xmlns="http://schemas.openxmlformats.org/spreadsheetml/2006/main" count="774" uniqueCount="113">
  <si>
    <t>Report Automation</t>
  </si>
  <si>
    <t>Class</t>
  </si>
  <si>
    <t>II</t>
  </si>
  <si>
    <t>Section</t>
  </si>
  <si>
    <t>Jinnah</t>
  </si>
  <si>
    <t>CID</t>
  </si>
  <si>
    <t>Name</t>
  </si>
  <si>
    <t>Father’s Name</t>
  </si>
  <si>
    <t>Term</t>
  </si>
  <si>
    <t>Total Working Days</t>
  </si>
  <si>
    <t>Attended Days</t>
  </si>
  <si>
    <t>Islamiat</t>
  </si>
  <si>
    <t>English (Language)</t>
  </si>
  <si>
    <t>English (Literature)</t>
  </si>
  <si>
    <t>Mathematics</t>
  </si>
  <si>
    <t>Science</t>
  </si>
  <si>
    <t>Social Studies</t>
  </si>
  <si>
    <t>Urdu</t>
  </si>
  <si>
    <t>Computer</t>
  </si>
  <si>
    <t>Projects</t>
  </si>
  <si>
    <t>Total</t>
  </si>
  <si>
    <t>Result</t>
  </si>
  <si>
    <t>Rank</t>
  </si>
  <si>
    <t>Total Marks</t>
  </si>
  <si>
    <t>Term %</t>
  </si>
  <si>
    <t>Class Teacher's Remarks</t>
  </si>
  <si>
    <t>Promotion Remarks</t>
  </si>
  <si>
    <t>Interaction with the Teacher</t>
  </si>
  <si>
    <t>Behaviour with the students</t>
  </si>
  <si>
    <t>Participation in co-curricular activities</t>
  </si>
  <si>
    <t>Punctuality / Regularity</t>
  </si>
  <si>
    <t>Neatness</t>
  </si>
  <si>
    <t>English Conversation</t>
  </si>
  <si>
    <t>Presentation / Project Work</t>
  </si>
  <si>
    <t>Hand Writing</t>
  </si>
  <si>
    <t>Home Assignment</t>
  </si>
  <si>
    <t>Conduct</t>
  </si>
  <si>
    <t>MUHAMMAD BAQIR</t>
  </si>
  <si>
    <t>NABEEL ZAFAR</t>
  </si>
  <si>
    <t>First Term</t>
  </si>
  <si>
    <t>PASSED</t>
  </si>
  <si>
    <t>Second Term</t>
  </si>
  <si>
    <t>Third Term</t>
  </si>
  <si>
    <t>Annual Term</t>
  </si>
  <si>
    <t>1st</t>
  </si>
  <si>
    <t>focus on studies</t>
  </si>
  <si>
    <t>Passed and Promoted to Grade-V</t>
  </si>
  <si>
    <t>A</t>
  </si>
  <si>
    <t>B</t>
  </si>
  <si>
    <t>C</t>
  </si>
  <si>
    <t>MUHAMMAD IBRAHIM</t>
  </si>
  <si>
    <t xml:space="preserve">MUHAMMAD SAQIB  </t>
  </si>
  <si>
    <t>AIZA ARIF</t>
  </si>
  <si>
    <t>MUHAMMAD ARIF</t>
  </si>
  <si>
    <t>MUHAMMAD IBRAHIM HUSSAIN</t>
  </si>
  <si>
    <t>MUHAMMAD MAZHAR HUSSAIN</t>
  </si>
  <si>
    <t>MINHA MASROOR</t>
  </si>
  <si>
    <t>MASROOR RIZWAN</t>
  </si>
  <si>
    <t>SYEDA BATOOL FATIMA</t>
  </si>
  <si>
    <t>SYED TAHIR RAZI</t>
  </si>
  <si>
    <t>ZOYA RAJA</t>
  </si>
  <si>
    <t>RAJA FAROOQI</t>
  </si>
  <si>
    <t>MUHAMMAD AHMED SIDDIQUI</t>
  </si>
  <si>
    <t>TOUSEEF AHMED SIDDIQUI</t>
  </si>
  <si>
    <t>ASHAL ABBAS</t>
  </si>
  <si>
    <t>MIRZA QALB E ABBAS</t>
  </si>
  <si>
    <t>Absent</t>
  </si>
  <si>
    <t>MISHAL</t>
  </si>
  <si>
    <t>ABDUL MUNEER</t>
  </si>
  <si>
    <t>INAYA IMRAN</t>
  </si>
  <si>
    <t>MUHAMMAD IMRAN SHARIF</t>
  </si>
  <si>
    <t>ABIHA TANVEER</t>
  </si>
  <si>
    <t>TANVEER AHAD</t>
  </si>
  <si>
    <t>MIRHA KHAN</t>
  </si>
  <si>
    <t>MUHAMMAD AHMED KHAN</t>
  </si>
  <si>
    <t>ALMEERA</t>
  </si>
  <si>
    <t>MUHAMMAD FAIZAN HASHIM</t>
  </si>
  <si>
    <t xml:space="preserve">             </t>
  </si>
  <si>
    <t>YASIR ALI</t>
  </si>
  <si>
    <t>UMAIR ALI ZEESHAN</t>
  </si>
  <si>
    <t>MUHAMMAD MOOSA</t>
  </si>
  <si>
    <t>MUHAMMAD ARSHAD</t>
  </si>
  <si>
    <t>SYEDA HOORAIN USAMA</t>
  </si>
  <si>
    <t>SYED USAMA ALI</t>
  </si>
  <si>
    <t>SAFIULLAH</t>
  </si>
  <si>
    <t>ASADULLAH</t>
  </si>
  <si>
    <t>AYESHA MOIZ KHAN</t>
  </si>
  <si>
    <t>MOIZ UDDIN KHAN</t>
  </si>
  <si>
    <t>DETAINED</t>
  </si>
  <si>
    <t>MUHAMMAD HUSNAIN KHAN</t>
  </si>
  <si>
    <t>MUHAMMAD ZULQARNAIN KHAN</t>
  </si>
  <si>
    <t>EILAF BINTE UMER</t>
  </si>
  <si>
    <t>UMER FAROOQ</t>
  </si>
  <si>
    <t>ANABIA QAZI</t>
  </si>
  <si>
    <t>MOIN UDDIN QAZI</t>
  </si>
  <si>
    <t>FATIMA MAJID</t>
  </si>
  <si>
    <t>MAJID UR RAZA KHAN</t>
  </si>
  <si>
    <t xml:space="preserve">MUHAMMAD AHMED </t>
  </si>
  <si>
    <t>NAVEED AKHTER</t>
  </si>
  <si>
    <t>SYEDA MARZIA ZEHRA KAZMI</t>
  </si>
  <si>
    <t>SYED IMRAN RAZA KAZMI</t>
  </si>
  <si>
    <t>SHAMROZ KHAN</t>
  </si>
  <si>
    <t>IMRAN KHAN</t>
  </si>
  <si>
    <t>MUHAMMAD</t>
  </si>
  <si>
    <t xml:space="preserve">MUHAMMAD IMRAN  </t>
  </si>
  <si>
    <t>MUHAMMAD ANAS</t>
  </si>
  <si>
    <t>SAKHI ZAMAN</t>
  </si>
  <si>
    <t>MUHAMMAD TABARAK</t>
  </si>
  <si>
    <t>MUNEER ALI</t>
  </si>
  <si>
    <t>MUHAMMAD TAHA</t>
  </si>
  <si>
    <t>MUHAMMAD ISLAM</t>
  </si>
  <si>
    <t xml:space="preserve">MUHAMMAD HUSNAIN  </t>
  </si>
  <si>
    <t>DANISH IRFAN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</si>
</sst>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0.0"/>
      <color theme="1"/>
      <name val="Arial"/>
    </font>
    <font>
      <sz val="19.0"/>
      <color rgb="FFFFFFFF"/>
      <name val="Arial"/>
    </font>
    <font/>
    <font>
      <sz val="18.0"/>
      <color theme="1"/>
      <name val="Arial"/>
    </font>
    <font>
      <sz val="19.0"/>
      <color theme="1"/>
      <name val="Arial"/>
    </font>
    <font>
      <b/>
      <sz val="10.0"/>
      <color rgb="FFFFFFFF"/>
      <name val="Arial"/>
    </font>
    <font>
      <b/>
      <sz val="10.0"/>
      <color theme="0"/>
      <name val="Arial"/>
    </font>
    <font>
      <b/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373F6B"/>
        <bgColor rgb="FF373F6B"/>
      </patternFill>
    </fill>
    <fill>
      <patternFill patternType="solid">
        <fgColor rgb="FFF6F8F9"/>
        <bgColor rgb="FFF6F8F9"/>
      </patternFill>
    </fill>
    <fill>
      <patternFill patternType="solid">
        <fgColor rgb="FFE4EDF6"/>
        <bgColor rgb="FFE4EDF6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8">
    <border/>
    <border>
      <left/>
      <top/>
    </border>
    <border>
      <right/>
      <top/>
    </border>
    <border>
      <left/>
      <bottom/>
    </border>
    <border>
      <right/>
      <bottom/>
    </border>
    <border>
      <left style="medium">
        <color rgb="FF4A568D"/>
      </left>
      <right style="thin">
        <color rgb="FF4A568D"/>
      </right>
      <top style="medium">
        <color rgb="FF4A568D"/>
      </top>
      <bottom style="thin">
        <color rgb="FF4A568D"/>
      </bottom>
    </border>
    <border>
      <left style="thin">
        <color rgb="FF4A568D"/>
      </left>
      <right style="medium">
        <color rgb="FF4A568D"/>
      </right>
      <top style="medium">
        <color rgb="FF4A568D"/>
      </top>
      <bottom style="thin">
        <color rgb="FF4A568D"/>
      </bottom>
    </border>
    <border>
      <left style="medium">
        <color rgb="FF4A568D"/>
      </left>
      <right style="thin">
        <color rgb="FF4A568D"/>
      </right>
      <top style="thin">
        <color rgb="FF4A568D"/>
      </top>
      <bottom style="medium">
        <color rgb="FF4A568D"/>
      </bottom>
    </border>
    <border>
      <left style="thin">
        <color rgb="FF4A568D"/>
      </left>
      <right style="medium">
        <color rgb="FF4A568D"/>
      </right>
      <top style="thin">
        <color rgb="FF4A568D"/>
      </top>
      <bottom style="medium">
        <color rgb="FF4A568D"/>
      </bottom>
    </border>
    <border>
      <top/>
    </border>
    <border>
      <bottom/>
    </border>
    <border>
      <left style="thin">
        <color rgb="FF292F50"/>
      </left>
      <right style="thin">
        <color rgb="FF373F6B"/>
      </right>
      <top style="thin">
        <color rgb="FF292F50"/>
      </top>
      <bottom/>
    </border>
    <border>
      <left style="thin">
        <color rgb="FF373F6B"/>
      </left>
      <right style="thin">
        <color rgb="FF373F6B"/>
      </right>
      <top style="thin">
        <color rgb="FF292F50"/>
      </top>
      <bottom/>
    </border>
    <border>
      <left style="thin">
        <color rgb="FF373F6B"/>
      </left>
      <right/>
      <top style="thin">
        <color rgb="FF292F50"/>
      </top>
      <bottom/>
    </border>
    <border>
      <left/>
      <right/>
      <top/>
      <bottom/>
    </border>
    <border>
      <left style="thin">
        <color rgb="FF373F6B"/>
      </left>
      <right style="thin">
        <color rgb="FF373F6B"/>
      </right>
      <top/>
      <bottom/>
    </border>
    <border>
      <left/>
    </border>
    <border>
      <right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0" fillId="0" fontId="6" numFmtId="0" xfId="0" applyAlignment="1" applyFont="1">
      <alignment horizontal="center" vertical="center"/>
    </xf>
    <xf borderId="5" fillId="2" fontId="6" numFmtId="0" xfId="0" applyAlignment="1" applyBorder="1" applyFill="1" applyFont="1">
      <alignment horizontal="center" vertical="center"/>
    </xf>
    <xf borderId="6" fillId="3" fontId="1" numFmtId="0" xfId="0" applyAlignment="1" applyBorder="1" applyFill="1" applyFont="1">
      <alignment horizontal="center" vertical="center"/>
    </xf>
    <xf borderId="0" fillId="0" fontId="7" numFmtId="0" xfId="0" applyAlignment="1" applyFont="1">
      <alignment horizontal="center" vertical="center"/>
    </xf>
    <xf borderId="7" fillId="2" fontId="7" numFmtId="0" xfId="0" applyAlignment="1" applyBorder="1" applyFill="1" applyFont="1">
      <alignment horizontal="center" vertical="center"/>
    </xf>
    <xf borderId="8" fillId="3" fontId="1" numFmtId="0" xfId="0" applyAlignment="1" applyBorder="1" applyFill="1" applyFont="1">
      <alignment horizontal="center" vertical="center"/>
    </xf>
    <xf borderId="0" fillId="0" fontId="8" numFmtId="0" xfId="0" applyAlignment="1" applyFont="1">
      <alignment horizontal="center" vertical="center"/>
    </xf>
    <xf borderId="1" fillId="4" fontId="8" numFmtId="0" xfId="0" applyAlignment="1" applyBorder="1" applyFill="1" applyFont="1">
      <alignment horizontal="center" vertical="center"/>
    </xf>
    <xf borderId="9" fillId="4" fontId="8" numFmtId="0" xfId="0" applyAlignment="1" applyBorder="1" applyFill="1" applyFont="1">
      <alignment horizontal="center" vertical="center"/>
    </xf>
    <xf borderId="2" fillId="4" fontId="8" numFmtId="0" xfId="0" applyAlignment="1" applyBorder="1" applyFill="1" applyFont="1">
      <alignment horizontal="center" vertical="center"/>
    </xf>
    <xf borderId="3" fillId="4" fontId="8" numFmtId="0" xfId="0" applyAlignment="1" applyBorder="1" applyFill="1" applyFont="1">
      <alignment horizontal="center" vertical="center"/>
    </xf>
    <xf borderId="10" fillId="4" fontId="8" numFmtId="0" xfId="0" applyAlignment="1" applyBorder="1" applyFill="1" applyFont="1">
      <alignment horizontal="center" vertical="center"/>
    </xf>
    <xf borderId="4" fillId="4" fontId="8" numFmtId="0" xfId="0" applyAlignment="1" applyBorder="1" applyFill="1" applyFont="1">
      <alignment horizontal="center" vertical="center"/>
    </xf>
    <xf borderId="11" fillId="2" fontId="6" numFmtId="0" xfId="0" applyAlignment="1" applyBorder="1" applyFill="1" applyFont="1">
      <alignment horizontal="center" shrinkToFit="0" vertical="center" wrapText="1"/>
    </xf>
    <xf borderId="12" fillId="2" fontId="6" numFmtId="0" xfId="0" applyAlignment="1" applyBorder="1" applyFill="1" applyFont="1">
      <alignment horizontal="center" shrinkToFit="0" vertical="center" wrapText="1"/>
    </xf>
    <xf borderId="13" fillId="2" fontId="6" numFmtId="0" xfId="0" applyAlignment="1" applyBorder="1" applyFill="1" applyFont="1">
      <alignment horizontal="center" shrinkToFit="0" vertical="center" wrapText="1"/>
    </xf>
    <xf borderId="14" fillId="2" fontId="6" numFmtId="0" xfId="0" applyAlignment="1" applyBorder="1" applyFill="1" applyFont="1">
      <alignment horizontal="center" shrinkToFit="0" vertical="center" wrapText="1"/>
    </xf>
    <xf borderId="15" fillId="2" fontId="6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0" fillId="0" fontId="9" numFmtId="2" xfId="0" applyAlignment="1" applyFont="1" applyNumberFormat="1">
      <alignment horizontal="center" vertical="center"/>
    </xf>
    <xf borderId="0" fillId="0" fontId="9" numFmtId="10" xfId="0" applyAlignment="1" applyFont="1" applyNumberFormat="1">
      <alignment horizontal="center" vertical="center"/>
    </xf>
    <xf borderId="14" fillId="5" fontId="1" numFmtId="0" xfId="0" applyAlignment="1" applyBorder="1" applyFill="1" applyFont="1">
      <alignment horizontal="center" vertical="center"/>
    </xf>
    <xf borderId="0" fillId="0" fontId="9" numFmtId="0" xfId="0" applyAlignment="1" applyFont="1">
      <alignment horizontal="center" readingOrder="0" shrinkToFit="0" vertical="center" wrapText="1"/>
    </xf>
    <xf borderId="14" fillId="5" fontId="1" numFmtId="0" xfId="0" applyAlignment="1" applyBorder="1" applyFill="1" applyFont="1">
      <alignment horizontal="center" shrinkToFit="0" wrapText="1"/>
    </xf>
    <xf borderId="14" fillId="5" fontId="1" numFmtId="0" xfId="0" applyAlignment="1" applyBorder="1" applyFill="1" applyFont="1">
      <alignment horizontal="center"/>
    </xf>
    <xf borderId="14" fillId="5" fontId="1" numFmtId="2" xfId="0" applyAlignment="1" applyBorder="1" applyFill="1" applyFont="1" applyNumberFormat="1">
      <alignment horizontal="center"/>
    </xf>
    <xf borderId="14" fillId="5" fontId="1" numFmtId="0" xfId="0" applyBorder="1" applyFill="1" applyFont="1"/>
    <xf borderId="14" fillId="5" fontId="1" numFmtId="10" xfId="0" applyAlignment="1" applyBorder="1" applyFill="1" applyFont="1" applyNumberFormat="1">
      <alignment horizontal="center"/>
    </xf>
    <xf borderId="1" fillId="5" fontId="1" numFmtId="0" xfId="0" applyBorder="1" applyFill="1" applyFont="1"/>
    <xf borderId="9" fillId="0" fontId="3" numFmtId="0" xfId="0" applyBorder="1" applyFont="1"/>
    <xf borderId="0" fillId="0" fontId="1" numFmtId="0" xfId="0" applyFont="1"/>
    <xf borderId="14" fillId="6" fontId="1" numFmtId="0" xfId="0" applyBorder="1" applyFill="1" applyFont="1"/>
    <xf borderId="14" fillId="6" fontId="1" numFmtId="0" xfId="0" applyAlignment="1" applyBorder="1" applyFill="1" applyFont="1">
      <alignment horizontal="center"/>
    </xf>
    <xf borderId="14" fillId="6" fontId="1" numFmtId="2" xfId="0" applyAlignment="1" applyBorder="1" applyFill="1" applyFont="1" applyNumberFormat="1">
      <alignment horizontal="center"/>
    </xf>
    <xf borderId="14" fillId="6" fontId="1" numFmtId="10" xfId="0" applyAlignment="1" applyBorder="1" applyFill="1" applyFont="1" applyNumberFormat="1">
      <alignment horizontal="center"/>
    </xf>
    <xf borderId="16" fillId="0" fontId="3" numFmtId="0" xfId="0" applyBorder="1" applyFont="1"/>
    <xf borderId="17" fillId="0" fontId="3" numFmtId="0" xfId="0" applyBorder="1" applyFont="1"/>
    <xf borderId="10" fillId="0" fontId="3" numFmtId="0" xfId="0" applyBorder="1" applyFont="1"/>
    <xf borderId="1" fillId="6" fontId="1" numFmtId="0" xfId="0" applyBorder="1" applyFill="1" applyFont="1"/>
    <xf borderId="14" fillId="4" fontId="1" numFmtId="0" xfId="0" applyAlignment="1" applyBorder="1" applyFill="1" applyFont="1">
      <alignment horizontal="center" vertical="center"/>
    </xf>
    <xf borderId="14" fillId="4" fontId="9" numFmtId="0" xfId="0" applyAlignment="1" applyBorder="1" applyFill="1" applyFont="1">
      <alignment horizontal="center" vertical="center"/>
    </xf>
    <xf borderId="14" fillId="5" fontId="9" numFmtId="0" xfId="0" applyAlignment="1" applyBorder="1" applyFill="1" applyFont="1">
      <alignment horizontal="center" vertical="center"/>
    </xf>
    <xf borderId="0" fillId="0" fontId="10" numFmtId="0" xfId="0" applyFont="1"/>
  </cellXfs>
  <cellStyles count="1">
    <cellStyle xfId="0" name="Normal" builtinId="0"/>
  </cellStyles>
  <dxfs count="2">
    <dxf>
      <font/>
      <fill>
        <patternFill patternType="solid">
          <fgColor rgb="FFE4EDF6"/>
          <bgColor rgb="FFE4EDF6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0.13"/>
    <col customWidth="1" min="2" max="2" width="31.13"/>
    <col customWidth="1" min="3" max="3" width="31.25"/>
    <col customWidth="1" min="4" max="4" width="15.38"/>
    <col customWidth="1" min="5" max="20" width="11.38"/>
    <col customWidth="1" min="21" max="21" width="25.25"/>
    <col customWidth="1" min="22" max="22" width="36.75"/>
    <col customWidth="1" min="23" max="32" width="10.13"/>
  </cols>
  <sheetData>
    <row r="1" ht="15.75" customHeight="1">
      <c r="A1" s="1"/>
      <c r="B1" s="2" t="s">
        <v>0</v>
      </c>
      <c r="C1" s="3"/>
      <c r="D1" s="4"/>
      <c r="E1" s="5"/>
      <c r="F1" s="5"/>
      <c r="G1" s="4"/>
      <c r="H1" s="4"/>
      <c r="I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ht="15.75" customHeight="1">
      <c r="A2" s="1"/>
      <c r="B2" s="6"/>
      <c r="C2" s="7"/>
      <c r="D2" s="4"/>
      <c r="E2" s="5"/>
      <c r="F2" s="5"/>
      <c r="G2" s="4"/>
      <c r="H2" s="4"/>
      <c r="I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ht="15.75" customHeight="1">
      <c r="A3" s="1"/>
      <c r="B3" s="1"/>
      <c r="C3" s="1"/>
      <c r="D3" s="1"/>
      <c r="E3" s="1"/>
      <c r="F3" s="1"/>
      <c r="G3" s="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ht="15.75" customHeight="1">
      <c r="A4" s="1"/>
      <c r="B4" s="9" t="s">
        <v>1</v>
      </c>
      <c r="C4" s="10" t="s">
        <v>2</v>
      </c>
      <c r="D4" s="1"/>
      <c r="E4" s="1"/>
      <c r="F4" s="1"/>
      <c r="G4" s="1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ht="15.75" customHeight="1">
      <c r="A5" s="1"/>
      <c r="B5" s="12" t="s">
        <v>3</v>
      </c>
      <c r="C5" s="13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4"/>
      <c r="P6" s="1"/>
      <c r="Q6" s="1"/>
      <c r="R6" s="14"/>
      <c r="S6" s="1"/>
      <c r="T6" s="1"/>
      <c r="U6" s="15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7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"/>
      <c r="R7" s="14"/>
      <c r="S7" s="1"/>
      <c r="T7" s="1"/>
      <c r="U7" s="18"/>
      <c r="V7" s="19"/>
      <c r="W7" s="19"/>
      <c r="X7" s="19"/>
      <c r="Y7" s="19"/>
      <c r="Z7" s="19"/>
      <c r="AA7" s="19"/>
      <c r="AB7" s="19"/>
      <c r="AC7" s="19"/>
      <c r="AD7" s="19"/>
      <c r="AE7" s="19"/>
      <c r="AF7" s="20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ht="24.75" customHeight="1">
      <c r="A8" s="21" t="s">
        <v>5</v>
      </c>
      <c r="B8" s="22" t="s">
        <v>6</v>
      </c>
      <c r="C8" s="22" t="s">
        <v>7</v>
      </c>
      <c r="D8" s="22" t="s">
        <v>8</v>
      </c>
      <c r="E8" s="22" t="s">
        <v>9</v>
      </c>
      <c r="F8" s="22" t="s">
        <v>10</v>
      </c>
      <c r="G8" s="22" t="s">
        <v>11</v>
      </c>
      <c r="H8" s="22" t="s">
        <v>12</v>
      </c>
      <c r="I8" s="22" t="s">
        <v>13</v>
      </c>
      <c r="J8" s="22" t="s">
        <v>14</v>
      </c>
      <c r="K8" s="22" t="s">
        <v>15</v>
      </c>
      <c r="L8" s="22" t="s">
        <v>16</v>
      </c>
      <c r="M8" s="22" t="s">
        <v>17</v>
      </c>
      <c r="N8" s="22" t="s">
        <v>18</v>
      </c>
      <c r="O8" s="22" t="s">
        <v>19</v>
      </c>
      <c r="P8" s="22" t="s">
        <v>20</v>
      </c>
      <c r="Q8" s="22" t="s">
        <v>21</v>
      </c>
      <c r="R8" s="23" t="s">
        <v>22</v>
      </c>
      <c r="S8" s="24" t="s">
        <v>23</v>
      </c>
      <c r="T8" s="24" t="s">
        <v>24</v>
      </c>
      <c r="U8" s="25" t="s">
        <v>25</v>
      </c>
      <c r="V8" s="25" t="s">
        <v>26</v>
      </c>
      <c r="W8" s="24" t="s">
        <v>27</v>
      </c>
      <c r="X8" s="24" t="s">
        <v>28</v>
      </c>
      <c r="Y8" s="24" t="s">
        <v>29</v>
      </c>
      <c r="Z8" s="24" t="s">
        <v>30</v>
      </c>
      <c r="AA8" s="24" t="s">
        <v>31</v>
      </c>
      <c r="AB8" s="24" t="s">
        <v>32</v>
      </c>
      <c r="AC8" s="24" t="s">
        <v>33</v>
      </c>
      <c r="AD8" s="24" t="s">
        <v>34</v>
      </c>
      <c r="AE8" s="24" t="s">
        <v>35</v>
      </c>
      <c r="AF8" s="24" t="s">
        <v>36</v>
      </c>
      <c r="AG8" s="26"/>
      <c r="AH8" s="26"/>
      <c r="AI8" s="26"/>
      <c r="AJ8" s="26"/>
      <c r="AK8" s="26"/>
      <c r="AL8" s="26"/>
      <c r="AM8" s="26"/>
      <c r="AN8" s="26"/>
      <c r="AO8" s="26"/>
      <c r="AP8" s="26"/>
    </row>
    <row r="9" ht="25.5" customHeight="1">
      <c r="A9" s="27">
        <v>21314.0</v>
      </c>
      <c r="B9" s="27" t="s">
        <v>37</v>
      </c>
      <c r="C9" s="27" t="s">
        <v>38</v>
      </c>
      <c r="D9" s="28" t="s">
        <v>39</v>
      </c>
      <c r="E9" s="28">
        <v>39.0</v>
      </c>
      <c r="F9" s="28">
        <v>34.0</v>
      </c>
      <c r="G9" s="29">
        <v>99.0</v>
      </c>
      <c r="H9" s="29">
        <v>96.5</v>
      </c>
      <c r="I9" s="29">
        <v>99.0</v>
      </c>
      <c r="J9" s="29">
        <v>100.0</v>
      </c>
      <c r="K9" s="29">
        <v>100.0</v>
      </c>
      <c r="L9" s="29">
        <v>98.0</v>
      </c>
      <c r="M9" s="29">
        <v>100.0</v>
      </c>
      <c r="N9" s="29">
        <v>97.0</v>
      </c>
      <c r="O9" s="28"/>
      <c r="P9" s="29">
        <f>SUM(G9:N9)</f>
        <v>789.5</v>
      </c>
      <c r="Q9" s="28" t="s">
        <v>40</v>
      </c>
      <c r="R9" s="28"/>
      <c r="S9" s="28">
        <v>800.0</v>
      </c>
      <c r="T9" s="30">
        <f t="shared" ref="T9:T132" si="1">(P9/S9)</f>
        <v>0.986875</v>
      </c>
      <c r="U9" s="28"/>
      <c r="V9" s="28"/>
      <c r="W9" s="1"/>
      <c r="AG9" s="31"/>
      <c r="AH9" s="31"/>
      <c r="AI9" s="1"/>
      <c r="AJ9" s="1"/>
      <c r="AK9" s="1"/>
      <c r="AL9" s="1"/>
      <c r="AM9" s="1"/>
      <c r="AN9" s="1"/>
      <c r="AO9" s="1"/>
      <c r="AP9" s="1"/>
    </row>
    <row r="10" ht="15.75" customHeight="1">
      <c r="A10" s="27"/>
      <c r="B10" s="27"/>
      <c r="C10" s="27"/>
      <c r="D10" s="28" t="s">
        <v>41</v>
      </c>
      <c r="E10" s="28">
        <v>46.0</v>
      </c>
      <c r="F10" s="28">
        <v>43.0</v>
      </c>
      <c r="G10" s="29">
        <v>97.0</v>
      </c>
      <c r="H10" s="29">
        <v>95.0</v>
      </c>
      <c r="I10" s="29">
        <v>93.5</v>
      </c>
      <c r="J10" s="29">
        <v>95.0</v>
      </c>
      <c r="K10" s="29">
        <v>99.0</v>
      </c>
      <c r="L10" s="29">
        <v>99.5</v>
      </c>
      <c r="M10" s="29">
        <v>97.0</v>
      </c>
      <c r="N10" s="29">
        <v>99.0</v>
      </c>
      <c r="O10" s="28"/>
      <c r="P10" s="29">
        <f t="shared" ref="P10:P40" si="2">SUM(G10:O10)</f>
        <v>775</v>
      </c>
      <c r="Q10" s="28" t="s">
        <v>40</v>
      </c>
      <c r="R10" s="28"/>
      <c r="S10" s="28">
        <v>800.0</v>
      </c>
      <c r="T10" s="30">
        <f t="shared" si="1"/>
        <v>0.96875</v>
      </c>
      <c r="U10" s="28"/>
      <c r="V10" s="28"/>
      <c r="AG10" s="31"/>
      <c r="AH10" s="31"/>
      <c r="AI10" s="1"/>
      <c r="AJ10" s="1"/>
      <c r="AK10" s="1"/>
      <c r="AL10" s="1"/>
      <c r="AM10" s="1"/>
      <c r="AN10" s="1"/>
      <c r="AO10" s="1"/>
      <c r="AP10" s="1"/>
    </row>
    <row r="11" ht="15.75" customHeight="1">
      <c r="A11" s="27"/>
      <c r="B11" s="27"/>
      <c r="C11" s="27"/>
      <c r="D11" s="28" t="s">
        <v>42</v>
      </c>
      <c r="E11" s="28">
        <v>0.0</v>
      </c>
      <c r="F11" s="28">
        <v>0.0</v>
      </c>
      <c r="G11" s="29">
        <v>0.0</v>
      </c>
      <c r="H11" s="29">
        <v>0.0</v>
      </c>
      <c r="I11" s="29">
        <v>0.0</v>
      </c>
      <c r="J11" s="29">
        <v>0.0</v>
      </c>
      <c r="K11" s="29">
        <v>0.0</v>
      </c>
      <c r="L11" s="29">
        <v>0.0</v>
      </c>
      <c r="M11" s="29">
        <v>0.0</v>
      </c>
      <c r="N11" s="29">
        <v>0.0</v>
      </c>
      <c r="O11" s="28"/>
      <c r="P11" s="29">
        <f t="shared" si="2"/>
        <v>0</v>
      </c>
      <c r="Q11" s="28" t="s">
        <v>40</v>
      </c>
      <c r="R11" s="28"/>
      <c r="S11" s="28">
        <v>800.0</v>
      </c>
      <c r="T11" s="30">
        <f t="shared" si="1"/>
        <v>0</v>
      </c>
      <c r="U11" s="28"/>
      <c r="V11" s="28"/>
      <c r="AG11" s="31"/>
      <c r="AH11" s="31"/>
      <c r="AI11" s="1"/>
      <c r="AJ11" s="1"/>
      <c r="AK11" s="1"/>
      <c r="AL11" s="1"/>
      <c r="AM11" s="1"/>
      <c r="AN11" s="1"/>
      <c r="AO11" s="1"/>
      <c r="AP11" s="1"/>
    </row>
    <row r="12" ht="15.75" customHeight="1">
      <c r="A12" s="27"/>
      <c r="B12" s="27"/>
      <c r="C12" s="27"/>
      <c r="D12" s="28" t="s">
        <v>43</v>
      </c>
      <c r="E12" s="28">
        <v>0.0</v>
      </c>
      <c r="F12" s="28">
        <v>0.0</v>
      </c>
      <c r="G12" s="29">
        <v>0.0</v>
      </c>
      <c r="H12" s="29">
        <v>0.0</v>
      </c>
      <c r="I12" s="29">
        <v>0.0</v>
      </c>
      <c r="J12" s="29">
        <v>0.0</v>
      </c>
      <c r="K12" s="29">
        <v>0.0</v>
      </c>
      <c r="L12" s="29">
        <v>0.0</v>
      </c>
      <c r="M12" s="29">
        <v>0.0</v>
      </c>
      <c r="N12" s="29">
        <v>0.0</v>
      </c>
      <c r="O12" s="28">
        <v>0.0</v>
      </c>
      <c r="P12" s="29">
        <f t="shared" si="2"/>
        <v>0</v>
      </c>
      <c r="Q12" s="28" t="s">
        <v>40</v>
      </c>
      <c r="R12" s="28" t="s">
        <v>44</v>
      </c>
      <c r="S12" s="28">
        <v>900.0</v>
      </c>
      <c r="T12" s="30">
        <f t="shared" si="1"/>
        <v>0</v>
      </c>
      <c r="U12" s="28" t="s">
        <v>45</v>
      </c>
      <c r="V12" s="28" t="s">
        <v>46</v>
      </c>
      <c r="W12" s="1" t="s">
        <v>47</v>
      </c>
      <c r="X12" s="1" t="s">
        <v>47</v>
      </c>
      <c r="Y12" s="1" t="s">
        <v>47</v>
      </c>
      <c r="Z12" s="1" t="s">
        <v>47</v>
      </c>
      <c r="AA12" s="1" t="s">
        <v>48</v>
      </c>
      <c r="AB12" s="1" t="s">
        <v>47</v>
      </c>
      <c r="AC12" s="1" t="s">
        <v>47</v>
      </c>
      <c r="AD12" s="1" t="s">
        <v>47</v>
      </c>
      <c r="AE12" s="1" t="s">
        <v>47</v>
      </c>
      <c r="AF12" s="1" t="s">
        <v>49</v>
      </c>
      <c r="AG12" s="31"/>
      <c r="AH12" s="31"/>
      <c r="AI12" s="1"/>
      <c r="AJ12" s="1"/>
      <c r="AK12" s="1"/>
      <c r="AL12" s="1"/>
      <c r="AM12" s="1"/>
      <c r="AN12" s="1"/>
      <c r="AO12" s="1"/>
      <c r="AP12" s="1"/>
    </row>
    <row r="13" ht="15.75" customHeight="1">
      <c r="A13" s="27">
        <v>21326.0</v>
      </c>
      <c r="B13" s="27" t="s">
        <v>50</v>
      </c>
      <c r="C13" s="27" t="s">
        <v>51</v>
      </c>
      <c r="D13" s="28" t="s">
        <v>39</v>
      </c>
      <c r="E13" s="28">
        <v>39.0</v>
      </c>
      <c r="F13" s="28">
        <v>31.0</v>
      </c>
      <c r="G13" s="29">
        <v>91.0</v>
      </c>
      <c r="H13" s="29">
        <v>82.0</v>
      </c>
      <c r="I13" s="29">
        <v>73.0</v>
      </c>
      <c r="J13" s="29">
        <v>98.0</v>
      </c>
      <c r="K13" s="29">
        <v>95.5</v>
      </c>
      <c r="L13" s="29">
        <v>98.0</v>
      </c>
      <c r="M13" s="29">
        <v>75.0</v>
      </c>
      <c r="N13" s="29">
        <v>95.5</v>
      </c>
      <c r="O13" s="28"/>
      <c r="P13" s="29">
        <f t="shared" si="2"/>
        <v>708</v>
      </c>
      <c r="Q13" s="28" t="s">
        <v>40</v>
      </c>
      <c r="R13" s="28"/>
      <c r="S13" s="28">
        <v>800.0</v>
      </c>
      <c r="T13" s="30">
        <f t="shared" si="1"/>
        <v>0.885</v>
      </c>
      <c r="U13" s="28"/>
      <c r="V13" s="28"/>
      <c r="W13" s="1"/>
      <c r="AG13" s="31"/>
      <c r="AH13" s="31"/>
      <c r="AI13" s="1"/>
      <c r="AJ13" s="1"/>
      <c r="AK13" s="1"/>
      <c r="AL13" s="1"/>
      <c r="AM13" s="1"/>
      <c r="AN13" s="1"/>
      <c r="AO13" s="1"/>
      <c r="AP13" s="1"/>
    </row>
    <row r="14" ht="15.75" customHeight="1">
      <c r="A14" s="27"/>
      <c r="B14" s="27"/>
      <c r="C14" s="27"/>
      <c r="D14" s="28" t="s">
        <v>41</v>
      </c>
      <c r="E14" s="28">
        <v>46.0</v>
      </c>
      <c r="F14" s="28">
        <v>40.0</v>
      </c>
      <c r="G14" s="29">
        <v>71.0</v>
      </c>
      <c r="H14" s="29">
        <v>58.0</v>
      </c>
      <c r="I14" s="29">
        <v>76.5</v>
      </c>
      <c r="J14" s="29">
        <v>77.5</v>
      </c>
      <c r="K14" s="29">
        <v>85.0</v>
      </c>
      <c r="L14" s="29">
        <v>79.0</v>
      </c>
      <c r="M14" s="29">
        <v>77.0</v>
      </c>
      <c r="N14" s="29">
        <v>77.5</v>
      </c>
      <c r="O14" s="28"/>
      <c r="P14" s="29">
        <f t="shared" si="2"/>
        <v>601.5</v>
      </c>
      <c r="Q14" s="28" t="s">
        <v>40</v>
      </c>
      <c r="R14" s="28"/>
      <c r="S14" s="28">
        <v>800.0</v>
      </c>
      <c r="T14" s="30">
        <f t="shared" si="1"/>
        <v>0.751875</v>
      </c>
      <c r="U14" s="28"/>
      <c r="V14" s="28"/>
      <c r="AG14" s="31"/>
      <c r="AH14" s="31"/>
      <c r="AI14" s="1"/>
      <c r="AJ14" s="1"/>
      <c r="AK14" s="1"/>
      <c r="AL14" s="1"/>
      <c r="AM14" s="1"/>
      <c r="AN14" s="1"/>
      <c r="AO14" s="1"/>
      <c r="AP14" s="1"/>
    </row>
    <row r="15" ht="15.75" customHeight="1">
      <c r="A15" s="27"/>
      <c r="B15" s="27"/>
      <c r="C15" s="27"/>
      <c r="D15" s="28" t="s">
        <v>42</v>
      </c>
      <c r="E15" s="28">
        <v>0.0</v>
      </c>
      <c r="F15" s="28">
        <v>0.0</v>
      </c>
      <c r="G15" s="29">
        <v>0.0</v>
      </c>
      <c r="H15" s="29">
        <v>0.0</v>
      </c>
      <c r="I15" s="29">
        <v>0.0</v>
      </c>
      <c r="J15" s="29">
        <v>0.0</v>
      </c>
      <c r="K15" s="29">
        <v>0.0</v>
      </c>
      <c r="L15" s="29">
        <v>0.0</v>
      </c>
      <c r="M15" s="29">
        <v>0.0</v>
      </c>
      <c r="N15" s="29">
        <v>0.0</v>
      </c>
      <c r="O15" s="28"/>
      <c r="P15" s="29">
        <f t="shared" si="2"/>
        <v>0</v>
      </c>
      <c r="Q15" s="28" t="s">
        <v>40</v>
      </c>
      <c r="R15" s="28"/>
      <c r="S15" s="28">
        <v>800.0</v>
      </c>
      <c r="T15" s="30">
        <f t="shared" si="1"/>
        <v>0</v>
      </c>
      <c r="U15" s="28"/>
      <c r="V15" s="28"/>
      <c r="AG15" s="31"/>
      <c r="AH15" s="31"/>
      <c r="AI15" s="1"/>
      <c r="AJ15" s="1"/>
      <c r="AK15" s="1"/>
      <c r="AL15" s="1"/>
      <c r="AM15" s="1"/>
      <c r="AN15" s="1"/>
      <c r="AO15" s="1"/>
      <c r="AP15" s="1"/>
    </row>
    <row r="16" ht="15.75" customHeight="1">
      <c r="A16" s="27"/>
      <c r="B16" s="27"/>
      <c r="C16" s="27"/>
      <c r="D16" s="28" t="s">
        <v>43</v>
      </c>
      <c r="E16" s="28">
        <v>0.0</v>
      </c>
      <c r="F16" s="28">
        <v>0.0</v>
      </c>
      <c r="G16" s="29">
        <v>0.0</v>
      </c>
      <c r="H16" s="29">
        <v>0.0</v>
      </c>
      <c r="I16" s="29">
        <v>0.0</v>
      </c>
      <c r="J16" s="29">
        <v>0.0</v>
      </c>
      <c r="K16" s="29">
        <v>0.0</v>
      </c>
      <c r="L16" s="29">
        <v>0.0</v>
      </c>
      <c r="M16" s="29">
        <v>0.0</v>
      </c>
      <c r="N16" s="29">
        <v>0.0</v>
      </c>
      <c r="O16" s="28">
        <v>0.0</v>
      </c>
      <c r="P16" s="29">
        <f t="shared" si="2"/>
        <v>0</v>
      </c>
      <c r="Q16" s="28" t="s">
        <v>40</v>
      </c>
      <c r="R16" s="28" t="s">
        <v>44</v>
      </c>
      <c r="S16" s="28">
        <v>900.0</v>
      </c>
      <c r="T16" s="30">
        <f t="shared" si="1"/>
        <v>0</v>
      </c>
      <c r="U16" s="28" t="s">
        <v>45</v>
      </c>
      <c r="V16" s="28" t="s">
        <v>46</v>
      </c>
      <c r="W16" s="1" t="s">
        <v>47</v>
      </c>
      <c r="X16" s="1" t="s">
        <v>47</v>
      </c>
      <c r="Y16" s="1" t="s">
        <v>47</v>
      </c>
      <c r="Z16" s="1" t="s">
        <v>47</v>
      </c>
      <c r="AA16" s="1" t="s">
        <v>48</v>
      </c>
      <c r="AB16" s="1" t="s">
        <v>47</v>
      </c>
      <c r="AC16" s="1" t="s">
        <v>47</v>
      </c>
      <c r="AD16" s="1" t="s">
        <v>47</v>
      </c>
      <c r="AE16" s="1" t="s">
        <v>47</v>
      </c>
      <c r="AF16" s="1" t="s">
        <v>49</v>
      </c>
      <c r="AG16" s="31"/>
      <c r="AH16" s="31"/>
      <c r="AI16" s="1"/>
      <c r="AJ16" s="1"/>
      <c r="AK16" s="1"/>
      <c r="AL16" s="1"/>
      <c r="AM16" s="1"/>
      <c r="AN16" s="1"/>
      <c r="AO16" s="1"/>
      <c r="AP16" s="1"/>
    </row>
    <row r="17" ht="15.75" customHeight="1">
      <c r="A17" s="27">
        <v>21351.0</v>
      </c>
      <c r="B17" s="27" t="s">
        <v>52</v>
      </c>
      <c r="C17" s="27" t="s">
        <v>53</v>
      </c>
      <c r="D17" s="28" t="s">
        <v>39</v>
      </c>
      <c r="E17" s="28">
        <v>39.0</v>
      </c>
      <c r="F17" s="28">
        <v>37.0</v>
      </c>
      <c r="G17" s="29">
        <v>100.0</v>
      </c>
      <c r="H17" s="29">
        <v>100.0</v>
      </c>
      <c r="I17" s="29">
        <v>100.0</v>
      </c>
      <c r="J17" s="29">
        <v>99.5</v>
      </c>
      <c r="K17" s="29">
        <v>100.0</v>
      </c>
      <c r="L17" s="29">
        <v>100.0</v>
      </c>
      <c r="M17" s="29">
        <v>100.0</v>
      </c>
      <c r="N17" s="29">
        <v>100.0</v>
      </c>
      <c r="O17" s="28"/>
      <c r="P17" s="29">
        <f t="shared" si="2"/>
        <v>799.5</v>
      </c>
      <c r="Q17" s="28" t="s">
        <v>40</v>
      </c>
      <c r="R17" s="28"/>
      <c r="S17" s="28">
        <v>800.0</v>
      </c>
      <c r="T17" s="30">
        <f t="shared" si="1"/>
        <v>0.999375</v>
      </c>
      <c r="U17" s="28"/>
      <c r="V17" s="28"/>
      <c r="W17" s="1"/>
      <c r="AG17" s="31"/>
      <c r="AH17" s="31"/>
      <c r="AI17" s="1"/>
      <c r="AJ17" s="1"/>
      <c r="AK17" s="1"/>
      <c r="AL17" s="1"/>
      <c r="AM17" s="1"/>
      <c r="AN17" s="1"/>
      <c r="AO17" s="1"/>
      <c r="AP17" s="1"/>
    </row>
    <row r="18" ht="15.75" customHeight="1">
      <c r="A18" s="27"/>
      <c r="B18" s="27"/>
      <c r="C18" s="27"/>
      <c r="D18" s="28" t="s">
        <v>41</v>
      </c>
      <c r="E18" s="28">
        <v>46.0</v>
      </c>
      <c r="F18" s="28">
        <v>45.0</v>
      </c>
      <c r="G18" s="29">
        <v>97.5</v>
      </c>
      <c r="H18" s="29">
        <v>100.0</v>
      </c>
      <c r="I18" s="29">
        <v>95.25</v>
      </c>
      <c r="J18" s="29">
        <v>98.5</v>
      </c>
      <c r="K18" s="29">
        <v>100.0</v>
      </c>
      <c r="L18" s="29">
        <v>99.5</v>
      </c>
      <c r="M18" s="29">
        <v>97.5</v>
      </c>
      <c r="N18" s="29">
        <v>99.5</v>
      </c>
      <c r="O18" s="28"/>
      <c r="P18" s="29">
        <f t="shared" si="2"/>
        <v>787.75</v>
      </c>
      <c r="Q18" s="28" t="s">
        <v>40</v>
      </c>
      <c r="R18" s="28"/>
      <c r="S18" s="28">
        <v>800.0</v>
      </c>
      <c r="T18" s="30">
        <f t="shared" si="1"/>
        <v>0.9846875</v>
      </c>
      <c r="U18" s="28"/>
      <c r="V18" s="28"/>
      <c r="AG18" s="31"/>
      <c r="AH18" s="31"/>
      <c r="AI18" s="1"/>
      <c r="AJ18" s="1"/>
      <c r="AK18" s="1"/>
      <c r="AL18" s="1"/>
      <c r="AM18" s="1"/>
      <c r="AN18" s="1"/>
      <c r="AO18" s="1"/>
      <c r="AP18" s="1"/>
    </row>
    <row r="19" ht="15.75" customHeight="1">
      <c r="A19" s="27"/>
      <c r="B19" s="27"/>
      <c r="C19" s="27"/>
      <c r="D19" s="28" t="s">
        <v>42</v>
      </c>
      <c r="E19" s="28">
        <v>0.0</v>
      </c>
      <c r="F19" s="28">
        <v>0.0</v>
      </c>
      <c r="G19" s="29">
        <v>0.0</v>
      </c>
      <c r="H19" s="29">
        <v>0.0</v>
      </c>
      <c r="I19" s="29">
        <v>0.0</v>
      </c>
      <c r="J19" s="29">
        <v>0.0</v>
      </c>
      <c r="K19" s="29">
        <v>0.0</v>
      </c>
      <c r="L19" s="29">
        <v>0.0</v>
      </c>
      <c r="M19" s="29">
        <v>0.0</v>
      </c>
      <c r="N19" s="29">
        <v>0.0</v>
      </c>
      <c r="O19" s="28"/>
      <c r="P19" s="29">
        <f t="shared" si="2"/>
        <v>0</v>
      </c>
      <c r="Q19" s="28" t="s">
        <v>40</v>
      </c>
      <c r="R19" s="28"/>
      <c r="S19" s="28">
        <v>800.0</v>
      </c>
      <c r="T19" s="30">
        <f t="shared" si="1"/>
        <v>0</v>
      </c>
      <c r="U19" s="28"/>
      <c r="V19" s="28"/>
      <c r="AG19" s="31"/>
      <c r="AH19" s="31"/>
      <c r="AI19" s="1"/>
      <c r="AJ19" s="1"/>
      <c r="AK19" s="1"/>
      <c r="AL19" s="1"/>
      <c r="AM19" s="1"/>
      <c r="AN19" s="1"/>
      <c r="AO19" s="1"/>
      <c r="AP19" s="1"/>
    </row>
    <row r="20" ht="15.75" customHeight="1">
      <c r="A20" s="27"/>
      <c r="B20" s="27"/>
      <c r="C20" s="27"/>
      <c r="D20" s="28" t="s">
        <v>43</v>
      </c>
      <c r="E20" s="28">
        <v>0.0</v>
      </c>
      <c r="F20" s="28">
        <v>0.0</v>
      </c>
      <c r="G20" s="29">
        <v>0.0</v>
      </c>
      <c r="H20" s="29">
        <v>0.0</v>
      </c>
      <c r="I20" s="29">
        <v>0.0</v>
      </c>
      <c r="J20" s="29">
        <v>0.0</v>
      </c>
      <c r="K20" s="29">
        <v>0.0</v>
      </c>
      <c r="L20" s="29">
        <v>0.0</v>
      </c>
      <c r="M20" s="29">
        <v>0.0</v>
      </c>
      <c r="N20" s="29">
        <v>0.0</v>
      </c>
      <c r="O20" s="28">
        <v>0.0</v>
      </c>
      <c r="P20" s="29">
        <f t="shared" si="2"/>
        <v>0</v>
      </c>
      <c r="Q20" s="28" t="s">
        <v>40</v>
      </c>
      <c r="R20" s="28" t="s">
        <v>44</v>
      </c>
      <c r="S20" s="28">
        <v>900.0</v>
      </c>
      <c r="T20" s="30">
        <f t="shared" si="1"/>
        <v>0</v>
      </c>
      <c r="U20" s="28" t="s">
        <v>45</v>
      </c>
      <c r="V20" s="28" t="s">
        <v>46</v>
      </c>
      <c r="W20" s="1" t="s">
        <v>47</v>
      </c>
      <c r="X20" s="1" t="s">
        <v>47</v>
      </c>
      <c r="Y20" s="1" t="s">
        <v>47</v>
      </c>
      <c r="Z20" s="1" t="s">
        <v>47</v>
      </c>
      <c r="AA20" s="1" t="s">
        <v>48</v>
      </c>
      <c r="AB20" s="1" t="s">
        <v>47</v>
      </c>
      <c r="AC20" s="1" t="s">
        <v>47</v>
      </c>
      <c r="AD20" s="1" t="s">
        <v>47</v>
      </c>
      <c r="AE20" s="1" t="s">
        <v>47</v>
      </c>
      <c r="AF20" s="1" t="s">
        <v>49</v>
      </c>
      <c r="AG20" s="31"/>
      <c r="AH20" s="31"/>
      <c r="AI20" s="1"/>
      <c r="AJ20" s="1"/>
      <c r="AK20" s="1"/>
      <c r="AL20" s="1"/>
      <c r="AM20" s="1"/>
      <c r="AN20" s="1"/>
      <c r="AO20" s="1"/>
      <c r="AP20" s="1"/>
    </row>
    <row r="21" ht="21.75" customHeight="1">
      <c r="A21" s="27">
        <v>21352.0</v>
      </c>
      <c r="B21" s="27" t="s">
        <v>54</v>
      </c>
      <c r="C21" s="27" t="s">
        <v>55</v>
      </c>
      <c r="D21" s="28" t="s">
        <v>39</v>
      </c>
      <c r="E21" s="28">
        <v>39.0</v>
      </c>
      <c r="F21" s="28">
        <v>30.0</v>
      </c>
      <c r="G21" s="29">
        <v>91.0</v>
      </c>
      <c r="H21" s="29">
        <v>83.5</v>
      </c>
      <c r="I21" s="29">
        <v>85.5</v>
      </c>
      <c r="J21" s="29">
        <v>99.0</v>
      </c>
      <c r="K21" s="29">
        <v>75.0</v>
      </c>
      <c r="L21" s="29">
        <v>99.0</v>
      </c>
      <c r="M21" s="29">
        <v>83.0</v>
      </c>
      <c r="N21" s="29">
        <v>98.0</v>
      </c>
      <c r="O21" s="28"/>
      <c r="P21" s="29">
        <f t="shared" si="2"/>
        <v>714</v>
      </c>
      <c r="Q21" s="28" t="s">
        <v>40</v>
      </c>
      <c r="R21" s="28"/>
      <c r="S21" s="28">
        <v>800.0</v>
      </c>
      <c r="T21" s="30">
        <f t="shared" si="1"/>
        <v>0.8925</v>
      </c>
      <c r="U21" s="28"/>
      <c r="V21" s="28"/>
      <c r="W21" s="1"/>
      <c r="AG21" s="31"/>
      <c r="AH21" s="31"/>
      <c r="AI21" s="1"/>
      <c r="AJ21" s="1"/>
      <c r="AK21" s="1"/>
      <c r="AL21" s="1"/>
      <c r="AM21" s="1"/>
      <c r="AN21" s="1"/>
      <c r="AO21" s="1"/>
      <c r="AP21" s="1"/>
    </row>
    <row r="22" ht="15.75" customHeight="1">
      <c r="A22" s="27"/>
      <c r="B22" s="27"/>
      <c r="C22" s="27"/>
      <c r="D22" s="28" t="s">
        <v>41</v>
      </c>
      <c r="E22" s="28">
        <v>46.0</v>
      </c>
      <c r="F22" s="28">
        <v>37.0</v>
      </c>
      <c r="G22" s="29">
        <v>70.5</v>
      </c>
      <c r="H22" s="29">
        <v>86.5</v>
      </c>
      <c r="I22" s="29">
        <v>64.0</v>
      </c>
      <c r="J22" s="29">
        <v>84.0</v>
      </c>
      <c r="K22" s="29">
        <v>69.0</v>
      </c>
      <c r="L22" s="29">
        <v>73.5</v>
      </c>
      <c r="M22" s="29">
        <v>80.5</v>
      </c>
      <c r="N22" s="29">
        <v>90.0</v>
      </c>
      <c r="O22" s="28"/>
      <c r="P22" s="29">
        <f t="shared" si="2"/>
        <v>618</v>
      </c>
      <c r="Q22" s="28" t="s">
        <v>40</v>
      </c>
      <c r="R22" s="28"/>
      <c r="S22" s="28">
        <v>800.0</v>
      </c>
      <c r="T22" s="30">
        <f t="shared" si="1"/>
        <v>0.7725</v>
      </c>
      <c r="U22" s="28"/>
      <c r="V22" s="28"/>
      <c r="AG22" s="31"/>
      <c r="AH22" s="31"/>
      <c r="AI22" s="1"/>
      <c r="AJ22" s="1"/>
      <c r="AK22" s="1"/>
      <c r="AL22" s="1"/>
      <c r="AM22" s="1"/>
      <c r="AN22" s="1"/>
      <c r="AO22" s="1"/>
      <c r="AP22" s="1"/>
    </row>
    <row r="23" ht="15.75" customHeight="1">
      <c r="A23" s="27"/>
      <c r="B23" s="27"/>
      <c r="C23" s="27"/>
      <c r="D23" s="28" t="s">
        <v>42</v>
      </c>
      <c r="E23" s="28">
        <v>0.0</v>
      </c>
      <c r="F23" s="28">
        <v>0.0</v>
      </c>
      <c r="G23" s="29">
        <v>0.0</v>
      </c>
      <c r="H23" s="29">
        <v>0.0</v>
      </c>
      <c r="I23" s="29">
        <v>0.0</v>
      </c>
      <c r="J23" s="29">
        <v>0.0</v>
      </c>
      <c r="K23" s="29">
        <v>0.0</v>
      </c>
      <c r="L23" s="29">
        <v>0.0</v>
      </c>
      <c r="M23" s="29">
        <v>0.0</v>
      </c>
      <c r="N23" s="29">
        <v>0.0</v>
      </c>
      <c r="O23" s="28"/>
      <c r="P23" s="29">
        <f t="shared" si="2"/>
        <v>0</v>
      </c>
      <c r="Q23" s="28" t="s">
        <v>40</v>
      </c>
      <c r="R23" s="28"/>
      <c r="S23" s="28">
        <v>800.0</v>
      </c>
      <c r="T23" s="30">
        <f t="shared" si="1"/>
        <v>0</v>
      </c>
      <c r="U23" s="28"/>
      <c r="V23" s="28"/>
      <c r="AG23" s="31"/>
      <c r="AH23" s="31"/>
      <c r="AI23" s="1"/>
      <c r="AJ23" s="1"/>
      <c r="AK23" s="1"/>
      <c r="AL23" s="1"/>
      <c r="AM23" s="1"/>
      <c r="AN23" s="1"/>
      <c r="AO23" s="1"/>
      <c r="AP23" s="1"/>
    </row>
    <row r="24" ht="15.75" customHeight="1">
      <c r="A24" s="27"/>
      <c r="B24" s="27"/>
      <c r="C24" s="27"/>
      <c r="D24" s="28" t="s">
        <v>43</v>
      </c>
      <c r="E24" s="28">
        <v>0.0</v>
      </c>
      <c r="F24" s="28">
        <v>0.0</v>
      </c>
      <c r="G24" s="29">
        <v>0.0</v>
      </c>
      <c r="H24" s="29">
        <v>0.0</v>
      </c>
      <c r="I24" s="29">
        <v>0.0</v>
      </c>
      <c r="J24" s="29">
        <v>0.0</v>
      </c>
      <c r="K24" s="29">
        <v>0.0</v>
      </c>
      <c r="L24" s="29">
        <v>0.0</v>
      </c>
      <c r="M24" s="29">
        <v>0.0</v>
      </c>
      <c r="N24" s="29">
        <v>0.0</v>
      </c>
      <c r="O24" s="28">
        <v>0.0</v>
      </c>
      <c r="P24" s="29">
        <f t="shared" si="2"/>
        <v>0</v>
      </c>
      <c r="Q24" s="28" t="s">
        <v>40</v>
      </c>
      <c r="R24" s="28" t="s">
        <v>44</v>
      </c>
      <c r="S24" s="28">
        <v>900.0</v>
      </c>
      <c r="T24" s="30">
        <f t="shared" si="1"/>
        <v>0</v>
      </c>
      <c r="U24" s="28" t="s">
        <v>45</v>
      </c>
      <c r="V24" s="28" t="s">
        <v>46</v>
      </c>
      <c r="W24" s="1" t="s">
        <v>47</v>
      </c>
      <c r="X24" s="1" t="s">
        <v>47</v>
      </c>
      <c r="Y24" s="1" t="s">
        <v>47</v>
      </c>
      <c r="Z24" s="1" t="s">
        <v>47</v>
      </c>
      <c r="AA24" s="1" t="s">
        <v>48</v>
      </c>
      <c r="AB24" s="1" t="s">
        <v>47</v>
      </c>
      <c r="AC24" s="1" t="s">
        <v>47</v>
      </c>
      <c r="AD24" s="1" t="s">
        <v>47</v>
      </c>
      <c r="AE24" s="1" t="s">
        <v>47</v>
      </c>
      <c r="AF24" s="1" t="s">
        <v>49</v>
      </c>
      <c r="AG24" s="31"/>
      <c r="AH24" s="31"/>
      <c r="AI24" s="1"/>
      <c r="AJ24" s="1"/>
      <c r="AK24" s="1"/>
      <c r="AL24" s="1"/>
      <c r="AM24" s="1"/>
      <c r="AN24" s="1"/>
      <c r="AO24" s="1"/>
      <c r="AP24" s="1"/>
    </row>
    <row r="25" ht="15.75" customHeight="1">
      <c r="A25" s="27">
        <v>21356.0</v>
      </c>
      <c r="B25" s="27" t="s">
        <v>56</v>
      </c>
      <c r="C25" s="27" t="s">
        <v>57</v>
      </c>
      <c r="D25" s="28" t="s">
        <v>39</v>
      </c>
      <c r="E25" s="28">
        <v>39.0</v>
      </c>
      <c r="F25" s="28">
        <v>32.0</v>
      </c>
      <c r="G25" s="29">
        <v>94.0</v>
      </c>
      <c r="H25" s="29">
        <v>89.0</v>
      </c>
      <c r="I25" s="29">
        <v>95.0</v>
      </c>
      <c r="J25" s="29">
        <v>98.0</v>
      </c>
      <c r="K25" s="29">
        <v>92.0</v>
      </c>
      <c r="L25" s="29">
        <v>100.0</v>
      </c>
      <c r="M25" s="29">
        <v>98.5</v>
      </c>
      <c r="N25" s="29">
        <v>96.0</v>
      </c>
      <c r="O25" s="28"/>
      <c r="P25" s="29">
        <f t="shared" si="2"/>
        <v>762.5</v>
      </c>
      <c r="Q25" s="28" t="s">
        <v>40</v>
      </c>
      <c r="R25" s="28"/>
      <c r="S25" s="28">
        <v>800.0</v>
      </c>
      <c r="T25" s="30">
        <f t="shared" si="1"/>
        <v>0.953125</v>
      </c>
      <c r="U25" s="28"/>
      <c r="V25" s="28"/>
      <c r="W25" s="1"/>
      <c r="AG25" s="31"/>
      <c r="AH25" s="31"/>
      <c r="AI25" s="1"/>
      <c r="AJ25" s="1"/>
      <c r="AK25" s="1"/>
      <c r="AL25" s="1"/>
      <c r="AM25" s="1"/>
      <c r="AN25" s="1"/>
      <c r="AO25" s="1"/>
      <c r="AP25" s="1"/>
    </row>
    <row r="26" ht="15.75" customHeight="1">
      <c r="A26" s="27"/>
      <c r="B26" s="27"/>
      <c r="C26" s="27"/>
      <c r="D26" s="28" t="s">
        <v>41</v>
      </c>
      <c r="E26" s="28">
        <v>46.0</v>
      </c>
      <c r="F26" s="28">
        <v>46.0</v>
      </c>
      <c r="G26" s="29">
        <v>88.5</v>
      </c>
      <c r="H26" s="29">
        <v>86.5</v>
      </c>
      <c r="I26" s="29">
        <v>70.0</v>
      </c>
      <c r="J26" s="29">
        <v>74.5</v>
      </c>
      <c r="K26" s="29">
        <v>79.0</v>
      </c>
      <c r="L26" s="29">
        <v>77.0</v>
      </c>
      <c r="M26" s="29">
        <v>94.0</v>
      </c>
      <c r="N26" s="29">
        <v>75.5</v>
      </c>
      <c r="O26" s="28"/>
      <c r="P26" s="29">
        <f t="shared" si="2"/>
        <v>645</v>
      </c>
      <c r="Q26" s="28" t="s">
        <v>40</v>
      </c>
      <c r="R26" s="28"/>
      <c r="S26" s="28">
        <v>800.0</v>
      </c>
      <c r="T26" s="30">
        <f t="shared" si="1"/>
        <v>0.80625</v>
      </c>
      <c r="U26" s="28"/>
      <c r="V26" s="28"/>
      <c r="AG26" s="31"/>
      <c r="AH26" s="31"/>
      <c r="AI26" s="1"/>
      <c r="AJ26" s="1"/>
      <c r="AK26" s="1"/>
      <c r="AL26" s="1"/>
      <c r="AM26" s="1"/>
      <c r="AN26" s="1"/>
      <c r="AO26" s="1"/>
      <c r="AP26" s="1"/>
    </row>
    <row r="27" ht="15.75" customHeight="1">
      <c r="A27" s="27"/>
      <c r="B27" s="27"/>
      <c r="C27" s="27"/>
      <c r="D27" s="28" t="s">
        <v>42</v>
      </c>
      <c r="E27" s="28">
        <v>0.0</v>
      </c>
      <c r="F27" s="28">
        <v>0.0</v>
      </c>
      <c r="G27" s="29">
        <v>0.0</v>
      </c>
      <c r="H27" s="29">
        <v>0.0</v>
      </c>
      <c r="I27" s="29">
        <v>0.0</v>
      </c>
      <c r="J27" s="29">
        <v>0.0</v>
      </c>
      <c r="K27" s="29">
        <v>0.0</v>
      </c>
      <c r="L27" s="29">
        <v>0.0</v>
      </c>
      <c r="M27" s="29">
        <v>0.0</v>
      </c>
      <c r="N27" s="29">
        <v>0.0</v>
      </c>
      <c r="O27" s="28"/>
      <c r="P27" s="29">
        <f t="shared" si="2"/>
        <v>0</v>
      </c>
      <c r="Q27" s="28" t="s">
        <v>40</v>
      </c>
      <c r="R27" s="28"/>
      <c r="S27" s="28">
        <v>800.0</v>
      </c>
      <c r="T27" s="30">
        <f t="shared" si="1"/>
        <v>0</v>
      </c>
      <c r="U27" s="28"/>
      <c r="V27" s="28"/>
      <c r="AG27" s="31"/>
      <c r="AH27" s="31"/>
      <c r="AI27" s="1"/>
      <c r="AJ27" s="1"/>
      <c r="AK27" s="1"/>
      <c r="AL27" s="1"/>
      <c r="AM27" s="1"/>
      <c r="AN27" s="1"/>
      <c r="AO27" s="1"/>
      <c r="AP27" s="1"/>
    </row>
    <row r="28" ht="15.75" customHeight="1">
      <c r="A28" s="27"/>
      <c r="B28" s="27"/>
      <c r="C28" s="27"/>
      <c r="D28" s="28" t="s">
        <v>43</v>
      </c>
      <c r="E28" s="28">
        <v>0.0</v>
      </c>
      <c r="F28" s="28">
        <v>0.0</v>
      </c>
      <c r="G28" s="29">
        <v>0.0</v>
      </c>
      <c r="H28" s="29">
        <v>0.0</v>
      </c>
      <c r="I28" s="29">
        <v>0.0</v>
      </c>
      <c r="J28" s="29">
        <v>0.0</v>
      </c>
      <c r="K28" s="29">
        <v>0.0</v>
      </c>
      <c r="L28" s="29">
        <v>0.0</v>
      </c>
      <c r="M28" s="29">
        <v>0.0</v>
      </c>
      <c r="N28" s="29">
        <v>0.0</v>
      </c>
      <c r="O28" s="28">
        <v>0.0</v>
      </c>
      <c r="P28" s="29">
        <f t="shared" si="2"/>
        <v>0</v>
      </c>
      <c r="Q28" s="28" t="s">
        <v>40</v>
      </c>
      <c r="R28" s="28" t="s">
        <v>44</v>
      </c>
      <c r="S28" s="28">
        <v>900.0</v>
      </c>
      <c r="T28" s="30">
        <f t="shared" si="1"/>
        <v>0</v>
      </c>
      <c r="U28" s="28" t="s">
        <v>45</v>
      </c>
      <c r="V28" s="28" t="s">
        <v>46</v>
      </c>
      <c r="W28" s="1" t="s">
        <v>47</v>
      </c>
      <c r="X28" s="1" t="s">
        <v>47</v>
      </c>
      <c r="Y28" s="1" t="s">
        <v>47</v>
      </c>
      <c r="Z28" s="1" t="s">
        <v>47</v>
      </c>
      <c r="AA28" s="1" t="s">
        <v>48</v>
      </c>
      <c r="AB28" s="1" t="s">
        <v>47</v>
      </c>
      <c r="AC28" s="1" t="s">
        <v>47</v>
      </c>
      <c r="AD28" s="1" t="s">
        <v>47</v>
      </c>
      <c r="AE28" s="1" t="s">
        <v>47</v>
      </c>
      <c r="AF28" s="1" t="s">
        <v>49</v>
      </c>
      <c r="AG28" s="31"/>
      <c r="AH28" s="31"/>
      <c r="AI28" s="1"/>
      <c r="AJ28" s="1"/>
      <c r="AK28" s="1"/>
      <c r="AL28" s="1"/>
      <c r="AM28" s="1"/>
      <c r="AN28" s="1"/>
      <c r="AO28" s="1"/>
      <c r="AP28" s="1"/>
    </row>
    <row r="29" ht="15.75" customHeight="1">
      <c r="A29" s="27">
        <v>21358.0</v>
      </c>
      <c r="B29" s="27" t="s">
        <v>58</v>
      </c>
      <c r="C29" s="27" t="s">
        <v>59</v>
      </c>
      <c r="D29" s="28" t="s">
        <v>39</v>
      </c>
      <c r="E29" s="28">
        <v>39.0</v>
      </c>
      <c r="F29" s="28">
        <v>33.0</v>
      </c>
      <c r="G29" s="29">
        <v>93.0</v>
      </c>
      <c r="H29" s="29">
        <v>70.0</v>
      </c>
      <c r="I29" s="29">
        <v>68.0</v>
      </c>
      <c r="J29" s="29">
        <v>92.0</v>
      </c>
      <c r="K29" s="29">
        <v>85.0</v>
      </c>
      <c r="L29" s="29">
        <v>97.0</v>
      </c>
      <c r="M29" s="29">
        <v>77.0</v>
      </c>
      <c r="N29" s="29">
        <v>91.5</v>
      </c>
      <c r="O29" s="28"/>
      <c r="P29" s="29">
        <f t="shared" si="2"/>
        <v>673.5</v>
      </c>
      <c r="Q29" s="28" t="s">
        <v>40</v>
      </c>
      <c r="R29" s="28"/>
      <c r="S29" s="28">
        <v>800.0</v>
      </c>
      <c r="T29" s="30">
        <f t="shared" si="1"/>
        <v>0.841875</v>
      </c>
      <c r="U29" s="28"/>
      <c r="V29" s="28"/>
      <c r="W29" s="1"/>
      <c r="AG29" s="31"/>
      <c r="AH29" s="31"/>
      <c r="AI29" s="1"/>
      <c r="AJ29" s="1"/>
      <c r="AK29" s="1"/>
      <c r="AL29" s="1"/>
      <c r="AM29" s="1"/>
      <c r="AN29" s="1"/>
      <c r="AO29" s="1"/>
      <c r="AP29" s="1"/>
    </row>
    <row r="30" ht="15.75" customHeight="1">
      <c r="A30" s="27"/>
      <c r="D30" s="28" t="s">
        <v>41</v>
      </c>
      <c r="E30" s="28">
        <v>46.0</v>
      </c>
      <c r="F30" s="28">
        <v>39.0</v>
      </c>
      <c r="G30" s="29">
        <v>75.5</v>
      </c>
      <c r="H30" s="29">
        <v>77.0</v>
      </c>
      <c r="I30" s="29">
        <v>56.5</v>
      </c>
      <c r="J30" s="29">
        <v>69.5</v>
      </c>
      <c r="K30" s="29">
        <v>43.0</v>
      </c>
      <c r="L30" s="29">
        <v>40.0</v>
      </c>
      <c r="M30" s="29">
        <v>68.0</v>
      </c>
      <c r="N30" s="29">
        <v>67.0</v>
      </c>
      <c r="O30" s="28"/>
      <c r="P30" s="29">
        <f t="shared" si="2"/>
        <v>496.5</v>
      </c>
      <c r="Q30" s="28" t="s">
        <v>40</v>
      </c>
      <c r="R30" s="28"/>
      <c r="S30" s="28">
        <v>800.0</v>
      </c>
      <c r="T30" s="30">
        <f t="shared" si="1"/>
        <v>0.620625</v>
      </c>
      <c r="U30" s="28"/>
      <c r="V30" s="28"/>
      <c r="AG30" s="31"/>
      <c r="AH30" s="31"/>
      <c r="AI30" s="1"/>
      <c r="AJ30" s="1"/>
      <c r="AK30" s="1"/>
      <c r="AL30" s="1"/>
      <c r="AM30" s="1"/>
      <c r="AN30" s="1"/>
      <c r="AO30" s="1"/>
      <c r="AP30" s="1"/>
    </row>
    <row r="31" ht="15.75" customHeight="1">
      <c r="D31" s="28" t="s">
        <v>42</v>
      </c>
      <c r="E31" s="28">
        <v>0.0</v>
      </c>
      <c r="F31" s="28">
        <v>0.0</v>
      </c>
      <c r="G31" s="29">
        <v>0.0</v>
      </c>
      <c r="H31" s="29">
        <v>0.0</v>
      </c>
      <c r="I31" s="29">
        <v>0.0</v>
      </c>
      <c r="J31" s="29">
        <v>0.0</v>
      </c>
      <c r="K31" s="29">
        <v>0.0</v>
      </c>
      <c r="L31" s="29">
        <v>0.0</v>
      </c>
      <c r="M31" s="29">
        <v>0.0</v>
      </c>
      <c r="N31" s="29">
        <v>0.0</v>
      </c>
      <c r="O31" s="28"/>
      <c r="P31" s="29">
        <f t="shared" si="2"/>
        <v>0</v>
      </c>
      <c r="Q31" s="28" t="s">
        <v>40</v>
      </c>
      <c r="R31" s="28"/>
      <c r="S31" s="28">
        <v>800.0</v>
      </c>
      <c r="T31" s="30">
        <f t="shared" si="1"/>
        <v>0</v>
      </c>
      <c r="U31" s="28"/>
      <c r="V31" s="28"/>
      <c r="AG31" s="31"/>
      <c r="AH31" s="31"/>
      <c r="AI31" s="1"/>
      <c r="AJ31" s="1"/>
      <c r="AK31" s="1"/>
      <c r="AL31" s="1"/>
      <c r="AM31" s="1"/>
      <c r="AN31" s="1"/>
      <c r="AO31" s="1"/>
      <c r="AP31" s="1"/>
    </row>
    <row r="32" ht="15.75" customHeight="1">
      <c r="D32" s="28" t="s">
        <v>43</v>
      </c>
      <c r="E32" s="28">
        <v>0.0</v>
      </c>
      <c r="F32" s="28">
        <v>0.0</v>
      </c>
      <c r="G32" s="29">
        <v>0.0</v>
      </c>
      <c r="H32" s="29">
        <v>0.0</v>
      </c>
      <c r="I32" s="29">
        <v>0.0</v>
      </c>
      <c r="J32" s="29">
        <v>0.0</v>
      </c>
      <c r="K32" s="29">
        <v>0.0</v>
      </c>
      <c r="L32" s="29">
        <v>0.0</v>
      </c>
      <c r="M32" s="29">
        <v>0.0</v>
      </c>
      <c r="N32" s="29">
        <v>0.0</v>
      </c>
      <c r="O32" s="28">
        <v>0.0</v>
      </c>
      <c r="P32" s="29">
        <f t="shared" si="2"/>
        <v>0</v>
      </c>
      <c r="Q32" s="28" t="s">
        <v>40</v>
      </c>
      <c r="R32" s="28" t="s">
        <v>44</v>
      </c>
      <c r="S32" s="28">
        <v>900.0</v>
      </c>
      <c r="T32" s="30">
        <f t="shared" si="1"/>
        <v>0</v>
      </c>
      <c r="U32" s="28" t="s">
        <v>45</v>
      </c>
      <c r="V32" s="28" t="s">
        <v>46</v>
      </c>
      <c r="W32" s="1" t="s">
        <v>47</v>
      </c>
      <c r="X32" s="1" t="s">
        <v>47</v>
      </c>
      <c r="Y32" s="1" t="s">
        <v>47</v>
      </c>
      <c r="Z32" s="1" t="s">
        <v>47</v>
      </c>
      <c r="AA32" s="1" t="s">
        <v>48</v>
      </c>
      <c r="AB32" s="1" t="s">
        <v>47</v>
      </c>
      <c r="AC32" s="1" t="s">
        <v>47</v>
      </c>
      <c r="AD32" s="1" t="s">
        <v>47</v>
      </c>
      <c r="AE32" s="1" t="s">
        <v>47</v>
      </c>
      <c r="AF32" s="1" t="s">
        <v>49</v>
      </c>
      <c r="AG32" s="31"/>
      <c r="AH32" s="31"/>
      <c r="AI32" s="1"/>
      <c r="AJ32" s="1"/>
      <c r="AK32" s="1"/>
      <c r="AL32" s="1"/>
      <c r="AM32" s="1"/>
      <c r="AN32" s="1"/>
      <c r="AO32" s="1"/>
      <c r="AP32" s="1"/>
    </row>
    <row r="33" ht="15.75" customHeight="1">
      <c r="A33" s="27">
        <v>21365.0</v>
      </c>
      <c r="B33" s="27" t="s">
        <v>60</v>
      </c>
      <c r="C33" s="27" t="s">
        <v>61</v>
      </c>
      <c r="D33" s="28" t="s">
        <v>39</v>
      </c>
      <c r="E33" s="28">
        <v>39.0</v>
      </c>
      <c r="F33" s="28">
        <v>35.0</v>
      </c>
      <c r="G33" s="29">
        <v>99.0</v>
      </c>
      <c r="H33" s="29">
        <v>85.0</v>
      </c>
      <c r="I33" s="29">
        <v>88.0</v>
      </c>
      <c r="J33" s="29">
        <v>98.0</v>
      </c>
      <c r="K33" s="29">
        <v>100.0</v>
      </c>
      <c r="L33" s="29">
        <v>97.0</v>
      </c>
      <c r="M33" s="29">
        <v>99.0</v>
      </c>
      <c r="N33" s="29">
        <v>97.0</v>
      </c>
      <c r="O33" s="28"/>
      <c r="P33" s="29">
        <f t="shared" si="2"/>
        <v>763</v>
      </c>
      <c r="Q33" s="28" t="s">
        <v>40</v>
      </c>
      <c r="R33" s="28"/>
      <c r="S33" s="28">
        <v>800.0</v>
      </c>
      <c r="T33" s="30">
        <f t="shared" si="1"/>
        <v>0.95375</v>
      </c>
      <c r="U33" s="28"/>
      <c r="V33" s="28"/>
      <c r="W33" s="1"/>
      <c r="AG33" s="31"/>
      <c r="AH33" s="31"/>
      <c r="AI33" s="1"/>
      <c r="AJ33" s="1"/>
      <c r="AK33" s="1"/>
      <c r="AL33" s="1"/>
      <c r="AM33" s="1"/>
      <c r="AN33" s="1"/>
      <c r="AO33" s="1"/>
      <c r="AP33" s="1"/>
    </row>
    <row r="34" ht="15.75" customHeight="1">
      <c r="A34" s="27"/>
      <c r="B34" s="27"/>
      <c r="C34" s="27"/>
      <c r="D34" s="28" t="s">
        <v>41</v>
      </c>
      <c r="E34" s="28">
        <v>46.0</v>
      </c>
      <c r="F34" s="28">
        <v>40.0</v>
      </c>
      <c r="G34" s="29">
        <v>93.0</v>
      </c>
      <c r="H34" s="29">
        <v>82.5</v>
      </c>
      <c r="I34" s="29">
        <v>60.0</v>
      </c>
      <c r="J34" s="29">
        <v>77.0</v>
      </c>
      <c r="K34" s="29">
        <v>89.5</v>
      </c>
      <c r="L34" s="29">
        <v>70.5</v>
      </c>
      <c r="M34" s="29">
        <v>90.0</v>
      </c>
      <c r="N34" s="29">
        <v>87.5</v>
      </c>
      <c r="O34" s="28"/>
      <c r="P34" s="29">
        <f t="shared" si="2"/>
        <v>650</v>
      </c>
      <c r="Q34" s="28" t="s">
        <v>40</v>
      </c>
      <c r="R34" s="28"/>
      <c r="S34" s="28">
        <v>800.0</v>
      </c>
      <c r="T34" s="30">
        <f t="shared" si="1"/>
        <v>0.8125</v>
      </c>
      <c r="U34" s="28"/>
      <c r="V34" s="28"/>
      <c r="AG34" s="31"/>
      <c r="AH34" s="31"/>
      <c r="AI34" s="1"/>
      <c r="AJ34" s="1"/>
      <c r="AK34" s="1"/>
      <c r="AL34" s="1"/>
      <c r="AM34" s="1"/>
      <c r="AN34" s="1"/>
      <c r="AO34" s="1"/>
      <c r="AP34" s="1"/>
    </row>
    <row r="35" ht="15.75" customHeight="1">
      <c r="A35" s="27"/>
      <c r="B35" s="27"/>
      <c r="C35" s="27"/>
      <c r="D35" s="28" t="s">
        <v>42</v>
      </c>
      <c r="E35" s="28">
        <v>0.0</v>
      </c>
      <c r="F35" s="28">
        <v>0.0</v>
      </c>
      <c r="G35" s="29">
        <v>0.0</v>
      </c>
      <c r="H35" s="29">
        <v>0.0</v>
      </c>
      <c r="I35" s="29">
        <v>0.0</v>
      </c>
      <c r="J35" s="29">
        <v>0.0</v>
      </c>
      <c r="K35" s="29">
        <v>0.0</v>
      </c>
      <c r="L35" s="29">
        <v>0.0</v>
      </c>
      <c r="M35" s="29">
        <v>0.0</v>
      </c>
      <c r="N35" s="29">
        <v>0.0</v>
      </c>
      <c r="O35" s="28"/>
      <c r="P35" s="29">
        <f t="shared" si="2"/>
        <v>0</v>
      </c>
      <c r="Q35" s="28" t="s">
        <v>40</v>
      </c>
      <c r="R35" s="28"/>
      <c r="S35" s="28">
        <v>800.0</v>
      </c>
      <c r="T35" s="30">
        <f t="shared" si="1"/>
        <v>0</v>
      </c>
      <c r="U35" s="28"/>
      <c r="V35" s="28"/>
      <c r="AG35" s="31"/>
      <c r="AH35" s="31"/>
      <c r="AI35" s="1"/>
      <c r="AJ35" s="1"/>
      <c r="AK35" s="1"/>
      <c r="AL35" s="1"/>
      <c r="AM35" s="1"/>
      <c r="AN35" s="1"/>
      <c r="AO35" s="1"/>
      <c r="AP35" s="1"/>
    </row>
    <row r="36" ht="15.75" customHeight="1">
      <c r="A36" s="27"/>
      <c r="B36" s="27"/>
      <c r="C36" s="27"/>
      <c r="D36" s="28" t="s">
        <v>43</v>
      </c>
      <c r="E36" s="28">
        <v>0.0</v>
      </c>
      <c r="F36" s="28">
        <v>0.0</v>
      </c>
      <c r="G36" s="29">
        <v>0.0</v>
      </c>
      <c r="H36" s="29">
        <v>0.0</v>
      </c>
      <c r="I36" s="29">
        <v>0.0</v>
      </c>
      <c r="J36" s="29">
        <v>0.0</v>
      </c>
      <c r="K36" s="29">
        <v>0.0</v>
      </c>
      <c r="L36" s="29">
        <v>0.0</v>
      </c>
      <c r="M36" s="29">
        <v>0.0</v>
      </c>
      <c r="N36" s="29">
        <v>0.0</v>
      </c>
      <c r="O36" s="28">
        <v>0.0</v>
      </c>
      <c r="P36" s="29">
        <f t="shared" si="2"/>
        <v>0</v>
      </c>
      <c r="Q36" s="28" t="s">
        <v>40</v>
      </c>
      <c r="R36" s="28" t="s">
        <v>44</v>
      </c>
      <c r="S36" s="28">
        <v>900.0</v>
      </c>
      <c r="T36" s="30">
        <f t="shared" si="1"/>
        <v>0</v>
      </c>
      <c r="U36" s="28" t="s">
        <v>45</v>
      </c>
      <c r="V36" s="28" t="s">
        <v>46</v>
      </c>
      <c r="W36" s="1" t="s">
        <v>47</v>
      </c>
      <c r="X36" s="1" t="s">
        <v>47</v>
      </c>
      <c r="Y36" s="1" t="s">
        <v>47</v>
      </c>
      <c r="Z36" s="1" t="s">
        <v>47</v>
      </c>
      <c r="AA36" s="1" t="s">
        <v>48</v>
      </c>
      <c r="AB36" s="1" t="s">
        <v>47</v>
      </c>
      <c r="AC36" s="1" t="s">
        <v>47</v>
      </c>
      <c r="AD36" s="1" t="s">
        <v>47</v>
      </c>
      <c r="AE36" s="1" t="s">
        <v>47</v>
      </c>
      <c r="AF36" s="1" t="s">
        <v>49</v>
      </c>
      <c r="AG36" s="31"/>
      <c r="AH36" s="31"/>
      <c r="AI36" s="1"/>
      <c r="AJ36" s="1"/>
      <c r="AK36" s="1"/>
      <c r="AL36" s="1"/>
      <c r="AM36" s="1"/>
      <c r="AN36" s="1"/>
      <c r="AO36" s="1"/>
      <c r="AP36" s="1"/>
    </row>
    <row r="37" ht="15.75" customHeight="1">
      <c r="A37" s="27">
        <v>21366.0</v>
      </c>
      <c r="B37" s="27" t="s">
        <v>62</v>
      </c>
      <c r="C37" s="27" t="s">
        <v>63</v>
      </c>
      <c r="D37" s="28" t="s">
        <v>39</v>
      </c>
      <c r="E37" s="28">
        <v>39.0</v>
      </c>
      <c r="F37" s="28">
        <v>32.0</v>
      </c>
      <c r="G37" s="29">
        <v>100.0</v>
      </c>
      <c r="H37" s="29">
        <v>98.0</v>
      </c>
      <c r="I37" s="29">
        <v>99.0</v>
      </c>
      <c r="J37" s="29">
        <v>100.0</v>
      </c>
      <c r="K37" s="29">
        <v>98.0</v>
      </c>
      <c r="L37" s="29">
        <v>99.0</v>
      </c>
      <c r="M37" s="29">
        <v>99.5</v>
      </c>
      <c r="N37" s="29">
        <v>99.5</v>
      </c>
      <c r="O37" s="28"/>
      <c r="P37" s="29">
        <f t="shared" si="2"/>
        <v>793</v>
      </c>
      <c r="Q37" s="28" t="s">
        <v>40</v>
      </c>
      <c r="R37" s="28"/>
      <c r="S37" s="28">
        <v>800.0</v>
      </c>
      <c r="T37" s="30">
        <f t="shared" si="1"/>
        <v>0.99125</v>
      </c>
      <c r="U37" s="28"/>
      <c r="V37" s="28"/>
      <c r="W37" s="1"/>
      <c r="AG37" s="31"/>
      <c r="AH37" s="31"/>
      <c r="AI37" s="1"/>
      <c r="AJ37" s="1"/>
      <c r="AK37" s="1"/>
      <c r="AL37" s="1"/>
      <c r="AM37" s="1"/>
      <c r="AN37" s="1"/>
      <c r="AO37" s="1"/>
      <c r="AP37" s="1"/>
    </row>
    <row r="38" ht="15.75" customHeight="1">
      <c r="A38" s="27"/>
      <c r="B38" s="27"/>
      <c r="C38" s="27"/>
      <c r="D38" s="28" t="s">
        <v>41</v>
      </c>
      <c r="E38" s="28">
        <v>46.0</v>
      </c>
      <c r="F38" s="28">
        <v>43.0</v>
      </c>
      <c r="G38" s="29">
        <v>96.5</v>
      </c>
      <c r="H38" s="29">
        <v>99.0</v>
      </c>
      <c r="I38" s="29">
        <v>95.5</v>
      </c>
      <c r="J38" s="29">
        <v>78.5</v>
      </c>
      <c r="K38" s="29">
        <v>92.0</v>
      </c>
      <c r="L38" s="29">
        <v>92.0</v>
      </c>
      <c r="M38" s="29">
        <v>98.0</v>
      </c>
      <c r="N38" s="29">
        <v>98.0</v>
      </c>
      <c r="O38" s="28"/>
      <c r="P38" s="29">
        <f t="shared" si="2"/>
        <v>749.5</v>
      </c>
      <c r="Q38" s="28" t="s">
        <v>40</v>
      </c>
      <c r="R38" s="28"/>
      <c r="S38" s="28">
        <v>800.0</v>
      </c>
      <c r="T38" s="30">
        <f t="shared" si="1"/>
        <v>0.936875</v>
      </c>
      <c r="U38" s="28"/>
      <c r="V38" s="28"/>
      <c r="AG38" s="31"/>
      <c r="AH38" s="31"/>
      <c r="AI38" s="1"/>
      <c r="AJ38" s="1"/>
      <c r="AK38" s="1"/>
      <c r="AL38" s="1"/>
      <c r="AM38" s="1"/>
      <c r="AN38" s="1"/>
      <c r="AO38" s="1"/>
      <c r="AP38" s="1"/>
    </row>
    <row r="39" ht="15.75" customHeight="1">
      <c r="A39" s="27"/>
      <c r="B39" s="27"/>
      <c r="C39" s="27"/>
      <c r="D39" s="28" t="s">
        <v>42</v>
      </c>
      <c r="E39" s="28">
        <v>0.0</v>
      </c>
      <c r="F39" s="28">
        <v>0.0</v>
      </c>
      <c r="G39" s="29">
        <v>0.0</v>
      </c>
      <c r="H39" s="29">
        <v>0.0</v>
      </c>
      <c r="I39" s="29">
        <v>0.0</v>
      </c>
      <c r="J39" s="29">
        <v>0.0</v>
      </c>
      <c r="K39" s="29">
        <v>0.0</v>
      </c>
      <c r="L39" s="29">
        <v>0.0</v>
      </c>
      <c r="M39" s="29">
        <v>0.0</v>
      </c>
      <c r="N39" s="29">
        <v>0.0</v>
      </c>
      <c r="O39" s="28"/>
      <c r="P39" s="29">
        <f t="shared" si="2"/>
        <v>0</v>
      </c>
      <c r="Q39" s="28" t="s">
        <v>40</v>
      </c>
      <c r="R39" s="28"/>
      <c r="S39" s="28">
        <v>800.0</v>
      </c>
      <c r="T39" s="30">
        <f t="shared" si="1"/>
        <v>0</v>
      </c>
      <c r="U39" s="28"/>
      <c r="V39" s="28"/>
      <c r="AG39" s="31"/>
      <c r="AH39" s="31"/>
      <c r="AI39" s="1"/>
      <c r="AJ39" s="1"/>
      <c r="AK39" s="1"/>
      <c r="AL39" s="1"/>
      <c r="AM39" s="1"/>
      <c r="AN39" s="1"/>
      <c r="AO39" s="1"/>
      <c r="AP39" s="1"/>
    </row>
    <row r="40" ht="15.75" customHeight="1">
      <c r="A40" s="27"/>
      <c r="B40" s="27"/>
      <c r="C40" s="27"/>
      <c r="D40" s="28" t="s">
        <v>43</v>
      </c>
      <c r="E40" s="28">
        <v>0.0</v>
      </c>
      <c r="F40" s="28">
        <v>0.0</v>
      </c>
      <c r="G40" s="29">
        <v>0.0</v>
      </c>
      <c r="H40" s="29">
        <v>0.0</v>
      </c>
      <c r="I40" s="29">
        <v>0.0</v>
      </c>
      <c r="J40" s="29">
        <v>0.0</v>
      </c>
      <c r="K40" s="29">
        <v>0.0</v>
      </c>
      <c r="L40" s="29">
        <v>0.0</v>
      </c>
      <c r="M40" s="29">
        <v>0.0</v>
      </c>
      <c r="N40" s="29">
        <v>0.0</v>
      </c>
      <c r="O40" s="28">
        <v>0.0</v>
      </c>
      <c r="P40" s="29">
        <f t="shared" si="2"/>
        <v>0</v>
      </c>
      <c r="Q40" s="28" t="s">
        <v>40</v>
      </c>
      <c r="R40" s="28" t="s">
        <v>44</v>
      </c>
      <c r="S40" s="28">
        <v>900.0</v>
      </c>
      <c r="T40" s="30">
        <f t="shared" si="1"/>
        <v>0</v>
      </c>
      <c r="U40" s="28" t="s">
        <v>45</v>
      </c>
      <c r="V40" s="28" t="s">
        <v>46</v>
      </c>
      <c r="W40" s="1" t="s">
        <v>47</v>
      </c>
      <c r="X40" s="1" t="s">
        <v>47</v>
      </c>
      <c r="Y40" s="1" t="s">
        <v>47</v>
      </c>
      <c r="Z40" s="1" t="s">
        <v>47</v>
      </c>
      <c r="AA40" s="1" t="s">
        <v>48</v>
      </c>
      <c r="AB40" s="1" t="s">
        <v>47</v>
      </c>
      <c r="AC40" s="1" t="s">
        <v>47</v>
      </c>
      <c r="AD40" s="1" t="s">
        <v>47</v>
      </c>
      <c r="AE40" s="1" t="s">
        <v>47</v>
      </c>
      <c r="AF40" s="1" t="s">
        <v>49</v>
      </c>
      <c r="AG40" s="31"/>
      <c r="AH40" s="31"/>
      <c r="AI40" s="1"/>
      <c r="AJ40" s="1"/>
      <c r="AK40" s="1"/>
      <c r="AL40" s="1"/>
      <c r="AM40" s="1"/>
      <c r="AN40" s="1"/>
      <c r="AO40" s="1"/>
      <c r="AP40" s="1"/>
    </row>
    <row r="41" ht="15.75" customHeight="1">
      <c r="A41" s="27">
        <v>21383.0</v>
      </c>
      <c r="B41" s="27" t="s">
        <v>64</v>
      </c>
      <c r="C41" s="27" t="s">
        <v>65</v>
      </c>
      <c r="D41" s="28" t="s">
        <v>39</v>
      </c>
      <c r="E41" s="28">
        <v>39.0</v>
      </c>
      <c r="F41" s="28">
        <v>25.0</v>
      </c>
      <c r="G41" s="29">
        <v>82.0</v>
      </c>
      <c r="H41" s="29">
        <v>61.0</v>
      </c>
      <c r="I41" s="29">
        <v>71.0</v>
      </c>
      <c r="J41" s="29">
        <v>86.5</v>
      </c>
      <c r="K41" s="29">
        <v>73.0</v>
      </c>
      <c r="L41" s="29">
        <v>99.0</v>
      </c>
      <c r="M41" s="29">
        <v>64.5</v>
      </c>
      <c r="N41" s="29">
        <v>85.0</v>
      </c>
      <c r="O41" s="28"/>
      <c r="P41" s="29">
        <f>SUM(G41:N41)</f>
        <v>622</v>
      </c>
      <c r="Q41" s="28" t="s">
        <v>40</v>
      </c>
      <c r="R41" s="28"/>
      <c r="S41" s="28">
        <v>800.0</v>
      </c>
      <c r="T41" s="30">
        <f t="shared" si="1"/>
        <v>0.7775</v>
      </c>
      <c r="U41" s="28"/>
      <c r="V41" s="28"/>
      <c r="W41" s="1"/>
      <c r="AG41" s="31"/>
      <c r="AH41" s="31"/>
      <c r="AI41" s="1"/>
      <c r="AJ41" s="1"/>
      <c r="AK41" s="1"/>
      <c r="AL41" s="1"/>
      <c r="AM41" s="1"/>
      <c r="AN41" s="1"/>
      <c r="AO41" s="1"/>
      <c r="AP41" s="1"/>
    </row>
    <row r="42" ht="15.75" customHeight="1">
      <c r="A42" s="27"/>
      <c r="B42" s="27"/>
      <c r="C42" s="27"/>
      <c r="D42" s="28" t="s">
        <v>41</v>
      </c>
      <c r="E42" s="28">
        <v>46.0</v>
      </c>
      <c r="F42" s="28">
        <v>34.0</v>
      </c>
      <c r="G42" s="29">
        <v>58.25</v>
      </c>
      <c r="H42" s="29">
        <v>70.0</v>
      </c>
      <c r="I42" s="29">
        <v>71.5</v>
      </c>
      <c r="J42" s="29">
        <v>78.0</v>
      </c>
      <c r="K42" s="29">
        <v>64.0</v>
      </c>
      <c r="L42" s="29">
        <v>50.5</v>
      </c>
      <c r="M42" s="29">
        <v>40.0</v>
      </c>
      <c r="N42" s="29" t="s">
        <v>66</v>
      </c>
      <c r="O42" s="28"/>
      <c r="P42" s="29">
        <f t="shared" ref="P42:P72" si="3">SUM(G42:O42)</f>
        <v>432.25</v>
      </c>
      <c r="Q42" s="28" t="s">
        <v>40</v>
      </c>
      <c r="R42" s="28"/>
      <c r="S42" s="28">
        <v>800.0</v>
      </c>
      <c r="T42" s="30">
        <f t="shared" si="1"/>
        <v>0.5403125</v>
      </c>
      <c r="U42" s="28"/>
      <c r="V42" s="28"/>
      <c r="AG42" s="31"/>
      <c r="AH42" s="31"/>
      <c r="AI42" s="1"/>
      <c r="AJ42" s="1"/>
      <c r="AK42" s="1"/>
      <c r="AL42" s="1"/>
      <c r="AM42" s="1"/>
      <c r="AN42" s="1"/>
      <c r="AO42" s="1"/>
      <c r="AP42" s="1"/>
    </row>
    <row r="43" ht="15.75" customHeight="1">
      <c r="A43" s="27"/>
      <c r="B43" s="27"/>
      <c r="C43" s="27"/>
      <c r="D43" s="28" t="s">
        <v>42</v>
      </c>
      <c r="E43" s="28">
        <v>0.0</v>
      </c>
      <c r="F43" s="28">
        <v>0.0</v>
      </c>
      <c r="G43" s="29">
        <v>0.0</v>
      </c>
      <c r="H43" s="29">
        <v>0.0</v>
      </c>
      <c r="I43" s="29">
        <v>0.0</v>
      </c>
      <c r="J43" s="29">
        <v>0.0</v>
      </c>
      <c r="K43" s="29">
        <v>0.0</v>
      </c>
      <c r="L43" s="29">
        <v>0.0</v>
      </c>
      <c r="M43" s="29">
        <v>0.0</v>
      </c>
      <c r="N43" s="29">
        <v>0.0</v>
      </c>
      <c r="O43" s="28"/>
      <c r="P43" s="29">
        <f t="shared" si="3"/>
        <v>0</v>
      </c>
      <c r="Q43" s="28" t="s">
        <v>40</v>
      </c>
      <c r="R43" s="28"/>
      <c r="S43" s="28">
        <v>800.0</v>
      </c>
      <c r="T43" s="30">
        <f t="shared" si="1"/>
        <v>0</v>
      </c>
      <c r="U43" s="28"/>
      <c r="V43" s="28"/>
      <c r="AG43" s="31"/>
      <c r="AH43" s="31"/>
      <c r="AI43" s="1"/>
      <c r="AJ43" s="1"/>
      <c r="AK43" s="1"/>
      <c r="AL43" s="1"/>
      <c r="AM43" s="1"/>
      <c r="AN43" s="1"/>
      <c r="AO43" s="1"/>
      <c r="AP43" s="1"/>
    </row>
    <row r="44" ht="15.75" customHeight="1">
      <c r="A44" s="27"/>
      <c r="B44" s="27"/>
      <c r="C44" s="27"/>
      <c r="D44" s="28" t="s">
        <v>43</v>
      </c>
      <c r="E44" s="28">
        <v>0.0</v>
      </c>
      <c r="F44" s="28">
        <v>0.0</v>
      </c>
      <c r="G44" s="29">
        <v>0.0</v>
      </c>
      <c r="H44" s="29">
        <v>0.0</v>
      </c>
      <c r="I44" s="29">
        <v>0.0</v>
      </c>
      <c r="J44" s="29">
        <v>0.0</v>
      </c>
      <c r="K44" s="29">
        <v>0.0</v>
      </c>
      <c r="L44" s="29">
        <v>0.0</v>
      </c>
      <c r="M44" s="29">
        <v>0.0</v>
      </c>
      <c r="N44" s="29">
        <v>0.0</v>
      </c>
      <c r="O44" s="28">
        <v>0.0</v>
      </c>
      <c r="P44" s="29">
        <f t="shared" si="3"/>
        <v>0</v>
      </c>
      <c r="Q44" s="28" t="s">
        <v>40</v>
      </c>
      <c r="R44" s="28" t="s">
        <v>44</v>
      </c>
      <c r="S44" s="28">
        <v>900.0</v>
      </c>
      <c r="T44" s="30">
        <f t="shared" si="1"/>
        <v>0</v>
      </c>
      <c r="U44" s="28" t="s">
        <v>45</v>
      </c>
      <c r="V44" s="28" t="s">
        <v>46</v>
      </c>
      <c r="W44" s="1" t="s">
        <v>47</v>
      </c>
      <c r="X44" s="1" t="s">
        <v>47</v>
      </c>
      <c r="Y44" s="1" t="s">
        <v>47</v>
      </c>
      <c r="Z44" s="1" t="s">
        <v>47</v>
      </c>
      <c r="AA44" s="1" t="s">
        <v>48</v>
      </c>
      <c r="AB44" s="1" t="s">
        <v>47</v>
      </c>
      <c r="AC44" s="1" t="s">
        <v>47</v>
      </c>
      <c r="AD44" s="1" t="s">
        <v>47</v>
      </c>
      <c r="AE44" s="1" t="s">
        <v>47</v>
      </c>
      <c r="AF44" s="1" t="s">
        <v>49</v>
      </c>
      <c r="AG44" s="31"/>
      <c r="AH44" s="31"/>
      <c r="AI44" s="1"/>
      <c r="AJ44" s="1"/>
      <c r="AK44" s="1"/>
      <c r="AL44" s="1"/>
      <c r="AM44" s="1"/>
      <c r="AN44" s="1"/>
      <c r="AO44" s="1"/>
      <c r="AP44" s="1"/>
    </row>
    <row r="45" ht="15.75" customHeight="1">
      <c r="A45" s="27">
        <v>21385.0</v>
      </c>
      <c r="B45" s="27" t="s">
        <v>67</v>
      </c>
      <c r="C45" s="27" t="s">
        <v>68</v>
      </c>
      <c r="D45" s="28" t="s">
        <v>39</v>
      </c>
      <c r="E45" s="28">
        <v>39.0</v>
      </c>
      <c r="F45" s="28">
        <v>16.0</v>
      </c>
      <c r="G45" s="29">
        <v>82.0</v>
      </c>
      <c r="H45" s="29">
        <v>93.5</v>
      </c>
      <c r="I45" s="29">
        <v>98.0</v>
      </c>
      <c r="J45" s="29">
        <v>97.5</v>
      </c>
      <c r="K45" s="29">
        <v>93.5</v>
      </c>
      <c r="L45" s="29">
        <v>95.0</v>
      </c>
      <c r="M45" s="29">
        <v>90.5</v>
      </c>
      <c r="N45" s="29">
        <v>86.0</v>
      </c>
      <c r="O45" s="28"/>
      <c r="P45" s="29">
        <f t="shared" si="3"/>
        <v>736</v>
      </c>
      <c r="Q45" s="28" t="s">
        <v>40</v>
      </c>
      <c r="R45" s="28"/>
      <c r="S45" s="28">
        <v>800.0</v>
      </c>
      <c r="T45" s="30">
        <f t="shared" si="1"/>
        <v>0.92</v>
      </c>
      <c r="U45" s="28"/>
      <c r="V45" s="28"/>
      <c r="W45" s="1"/>
      <c r="AG45" s="31"/>
      <c r="AH45" s="31"/>
      <c r="AI45" s="1"/>
      <c r="AJ45" s="1"/>
      <c r="AK45" s="1"/>
      <c r="AL45" s="1"/>
      <c r="AM45" s="1"/>
      <c r="AN45" s="1"/>
      <c r="AO45" s="1"/>
      <c r="AP45" s="1"/>
    </row>
    <row r="46" ht="15.75" customHeight="1">
      <c r="A46" s="27"/>
      <c r="B46" s="27"/>
      <c r="C46" s="27"/>
      <c r="D46" s="28" t="s">
        <v>41</v>
      </c>
      <c r="E46" s="28">
        <v>46.0</v>
      </c>
      <c r="F46" s="28">
        <v>43.0</v>
      </c>
      <c r="G46" s="29">
        <v>90.0</v>
      </c>
      <c r="H46" s="29">
        <v>96.0</v>
      </c>
      <c r="I46" s="29">
        <v>89.5</v>
      </c>
      <c r="J46" s="29">
        <v>96.5</v>
      </c>
      <c r="K46" s="29">
        <v>94.5</v>
      </c>
      <c r="L46" s="29">
        <v>87.5</v>
      </c>
      <c r="M46" s="29">
        <v>86.5</v>
      </c>
      <c r="N46" s="29">
        <v>92.5</v>
      </c>
      <c r="O46" s="28"/>
      <c r="P46" s="29">
        <f t="shared" si="3"/>
        <v>733</v>
      </c>
      <c r="Q46" s="28" t="s">
        <v>40</v>
      </c>
      <c r="R46" s="28"/>
      <c r="S46" s="28">
        <v>800.0</v>
      </c>
      <c r="T46" s="30">
        <f t="shared" si="1"/>
        <v>0.91625</v>
      </c>
      <c r="U46" s="28"/>
      <c r="V46" s="28"/>
      <c r="AG46" s="31"/>
      <c r="AH46" s="31"/>
      <c r="AI46" s="1"/>
      <c r="AJ46" s="1"/>
      <c r="AK46" s="1"/>
      <c r="AL46" s="1"/>
      <c r="AM46" s="1"/>
      <c r="AN46" s="1"/>
      <c r="AO46" s="1"/>
      <c r="AP46" s="1"/>
    </row>
    <row r="47" ht="15.75" customHeight="1">
      <c r="A47" s="27"/>
      <c r="B47" s="27"/>
      <c r="C47" s="27"/>
      <c r="D47" s="28" t="s">
        <v>42</v>
      </c>
      <c r="E47" s="28">
        <v>0.0</v>
      </c>
      <c r="F47" s="28">
        <v>0.0</v>
      </c>
      <c r="G47" s="29">
        <v>0.0</v>
      </c>
      <c r="H47" s="29">
        <v>0.0</v>
      </c>
      <c r="I47" s="29">
        <v>0.0</v>
      </c>
      <c r="J47" s="29">
        <v>0.0</v>
      </c>
      <c r="K47" s="29">
        <v>0.0</v>
      </c>
      <c r="L47" s="29">
        <v>0.0</v>
      </c>
      <c r="M47" s="29">
        <v>0.0</v>
      </c>
      <c r="N47" s="29">
        <v>0.0</v>
      </c>
      <c r="O47" s="28"/>
      <c r="P47" s="29">
        <f t="shared" si="3"/>
        <v>0</v>
      </c>
      <c r="Q47" s="28" t="s">
        <v>40</v>
      </c>
      <c r="R47" s="28"/>
      <c r="S47" s="28">
        <v>800.0</v>
      </c>
      <c r="T47" s="30">
        <f t="shared" si="1"/>
        <v>0</v>
      </c>
      <c r="U47" s="28"/>
      <c r="V47" s="28"/>
      <c r="AG47" s="31"/>
      <c r="AH47" s="31"/>
      <c r="AI47" s="1"/>
      <c r="AJ47" s="1"/>
      <c r="AK47" s="1"/>
      <c r="AL47" s="1"/>
      <c r="AM47" s="1"/>
      <c r="AN47" s="1"/>
      <c r="AO47" s="1"/>
      <c r="AP47" s="1"/>
    </row>
    <row r="48" ht="15.75" customHeight="1">
      <c r="A48" s="27"/>
      <c r="B48" s="27"/>
      <c r="C48" s="27"/>
      <c r="D48" s="28" t="s">
        <v>43</v>
      </c>
      <c r="E48" s="28">
        <v>0.0</v>
      </c>
      <c r="F48" s="28">
        <v>0.0</v>
      </c>
      <c r="G48" s="29">
        <v>0.0</v>
      </c>
      <c r="H48" s="29">
        <v>0.0</v>
      </c>
      <c r="I48" s="29">
        <v>0.0</v>
      </c>
      <c r="J48" s="29">
        <v>0.0</v>
      </c>
      <c r="K48" s="29">
        <v>0.0</v>
      </c>
      <c r="L48" s="29">
        <v>0.0</v>
      </c>
      <c r="M48" s="29">
        <v>0.0</v>
      </c>
      <c r="N48" s="29">
        <v>0.0</v>
      </c>
      <c r="O48" s="28">
        <v>0.0</v>
      </c>
      <c r="P48" s="29">
        <f t="shared" si="3"/>
        <v>0</v>
      </c>
      <c r="Q48" s="28" t="s">
        <v>40</v>
      </c>
      <c r="R48" s="28" t="s">
        <v>44</v>
      </c>
      <c r="S48" s="28">
        <v>900.0</v>
      </c>
      <c r="T48" s="30">
        <f t="shared" si="1"/>
        <v>0</v>
      </c>
      <c r="U48" s="28" t="s">
        <v>45</v>
      </c>
      <c r="V48" s="28" t="s">
        <v>46</v>
      </c>
      <c r="W48" s="1" t="s">
        <v>47</v>
      </c>
      <c r="X48" s="1" t="s">
        <v>47</v>
      </c>
      <c r="Y48" s="1" t="s">
        <v>47</v>
      </c>
      <c r="Z48" s="1" t="s">
        <v>47</v>
      </c>
      <c r="AA48" s="1" t="s">
        <v>48</v>
      </c>
      <c r="AB48" s="1" t="s">
        <v>47</v>
      </c>
      <c r="AC48" s="1" t="s">
        <v>47</v>
      </c>
      <c r="AD48" s="1" t="s">
        <v>47</v>
      </c>
      <c r="AE48" s="1" t="s">
        <v>47</v>
      </c>
      <c r="AF48" s="1" t="s">
        <v>49</v>
      </c>
      <c r="AG48" s="31"/>
      <c r="AH48" s="31"/>
      <c r="AI48" s="1"/>
      <c r="AJ48" s="1"/>
      <c r="AK48" s="1"/>
      <c r="AL48" s="1"/>
      <c r="AM48" s="1"/>
      <c r="AN48" s="1"/>
      <c r="AO48" s="1"/>
      <c r="AP48" s="1"/>
    </row>
    <row r="49" ht="15.75" customHeight="1">
      <c r="A49" s="27">
        <v>21405.0</v>
      </c>
      <c r="B49" s="27" t="s">
        <v>69</v>
      </c>
      <c r="C49" s="27" t="s">
        <v>70</v>
      </c>
      <c r="D49" s="28" t="s">
        <v>39</v>
      </c>
      <c r="E49" s="28">
        <v>39.0</v>
      </c>
      <c r="F49" s="28">
        <v>30.0</v>
      </c>
      <c r="G49" s="29">
        <v>98.0</v>
      </c>
      <c r="H49" s="29">
        <v>99.0</v>
      </c>
      <c r="I49" s="29">
        <v>98.0</v>
      </c>
      <c r="J49" s="29">
        <v>97.5</v>
      </c>
      <c r="K49" s="29">
        <v>100.0</v>
      </c>
      <c r="L49" s="29">
        <v>100.0</v>
      </c>
      <c r="M49" s="29">
        <v>93.0</v>
      </c>
      <c r="N49" s="29">
        <v>99.0</v>
      </c>
      <c r="O49" s="28"/>
      <c r="P49" s="29">
        <f t="shared" si="3"/>
        <v>784.5</v>
      </c>
      <c r="Q49" s="28" t="s">
        <v>40</v>
      </c>
      <c r="R49" s="28"/>
      <c r="S49" s="28">
        <v>800.0</v>
      </c>
      <c r="T49" s="30">
        <f t="shared" si="1"/>
        <v>0.980625</v>
      </c>
      <c r="U49" s="28"/>
      <c r="V49" s="28"/>
      <c r="W49" s="1"/>
      <c r="AG49" s="31"/>
      <c r="AH49" s="31"/>
      <c r="AI49" s="1"/>
      <c r="AJ49" s="1"/>
      <c r="AK49" s="1"/>
      <c r="AL49" s="1"/>
      <c r="AM49" s="1"/>
      <c r="AN49" s="1"/>
      <c r="AO49" s="1"/>
      <c r="AP49" s="1"/>
    </row>
    <row r="50" ht="15.75" customHeight="1">
      <c r="A50" s="27"/>
      <c r="B50" s="27"/>
      <c r="C50" s="27"/>
      <c r="D50" s="28" t="s">
        <v>41</v>
      </c>
      <c r="E50" s="28">
        <v>46.0</v>
      </c>
      <c r="F50" s="28">
        <v>37.0</v>
      </c>
      <c r="G50" s="29">
        <v>89.75</v>
      </c>
      <c r="H50" s="29">
        <v>99.0</v>
      </c>
      <c r="I50" s="29">
        <v>93.0</v>
      </c>
      <c r="J50" s="29">
        <v>77.5</v>
      </c>
      <c r="K50" s="29">
        <v>92.0</v>
      </c>
      <c r="L50" s="29">
        <v>90.5</v>
      </c>
      <c r="M50" s="29">
        <v>89.0</v>
      </c>
      <c r="N50" s="29">
        <v>98.0</v>
      </c>
      <c r="O50" s="28"/>
      <c r="P50" s="29">
        <f t="shared" si="3"/>
        <v>728.75</v>
      </c>
      <c r="Q50" s="28" t="s">
        <v>40</v>
      </c>
      <c r="R50" s="28"/>
      <c r="S50" s="28">
        <v>800.0</v>
      </c>
      <c r="T50" s="30">
        <f t="shared" si="1"/>
        <v>0.9109375</v>
      </c>
      <c r="U50" s="28"/>
      <c r="V50" s="28"/>
      <c r="AG50" s="31"/>
      <c r="AH50" s="31"/>
      <c r="AI50" s="1"/>
      <c r="AJ50" s="1"/>
      <c r="AK50" s="1"/>
      <c r="AL50" s="1"/>
      <c r="AM50" s="1"/>
      <c r="AN50" s="1"/>
      <c r="AO50" s="1"/>
      <c r="AP50" s="1"/>
    </row>
    <row r="51" ht="15.75" customHeight="1">
      <c r="A51" s="27"/>
      <c r="B51" s="27"/>
      <c r="C51" s="27"/>
      <c r="D51" s="28" t="s">
        <v>42</v>
      </c>
      <c r="E51" s="28">
        <v>0.0</v>
      </c>
      <c r="F51" s="28">
        <v>0.0</v>
      </c>
      <c r="G51" s="29">
        <v>0.0</v>
      </c>
      <c r="H51" s="29">
        <v>0.0</v>
      </c>
      <c r="I51" s="29">
        <v>0.0</v>
      </c>
      <c r="J51" s="29">
        <v>0.0</v>
      </c>
      <c r="K51" s="29">
        <v>0.0</v>
      </c>
      <c r="L51" s="29">
        <v>0.0</v>
      </c>
      <c r="M51" s="29">
        <v>0.0</v>
      </c>
      <c r="N51" s="29">
        <v>0.0</v>
      </c>
      <c r="O51" s="28"/>
      <c r="P51" s="29">
        <f t="shared" si="3"/>
        <v>0</v>
      </c>
      <c r="Q51" s="28" t="s">
        <v>40</v>
      </c>
      <c r="R51" s="28"/>
      <c r="S51" s="28">
        <v>800.0</v>
      </c>
      <c r="T51" s="30">
        <f t="shared" si="1"/>
        <v>0</v>
      </c>
      <c r="U51" s="28"/>
      <c r="V51" s="28"/>
      <c r="AG51" s="31"/>
      <c r="AH51" s="31"/>
      <c r="AI51" s="1"/>
      <c r="AJ51" s="1"/>
      <c r="AK51" s="1"/>
      <c r="AL51" s="1"/>
      <c r="AM51" s="1"/>
      <c r="AN51" s="1"/>
      <c r="AO51" s="1"/>
      <c r="AP51" s="1"/>
    </row>
    <row r="52" ht="15.75" customHeight="1">
      <c r="A52" s="27"/>
      <c r="B52" s="27"/>
      <c r="C52" s="27"/>
      <c r="D52" s="28" t="s">
        <v>43</v>
      </c>
      <c r="E52" s="28">
        <v>0.0</v>
      </c>
      <c r="F52" s="28">
        <v>0.0</v>
      </c>
      <c r="G52" s="29">
        <v>0.0</v>
      </c>
      <c r="H52" s="29">
        <v>0.0</v>
      </c>
      <c r="I52" s="29">
        <v>0.0</v>
      </c>
      <c r="J52" s="29">
        <v>0.0</v>
      </c>
      <c r="K52" s="29">
        <v>0.0</v>
      </c>
      <c r="L52" s="29">
        <v>0.0</v>
      </c>
      <c r="M52" s="29">
        <v>0.0</v>
      </c>
      <c r="N52" s="29">
        <v>0.0</v>
      </c>
      <c r="O52" s="28">
        <v>0.0</v>
      </c>
      <c r="P52" s="29">
        <f t="shared" si="3"/>
        <v>0</v>
      </c>
      <c r="Q52" s="28" t="s">
        <v>40</v>
      </c>
      <c r="R52" s="28" t="s">
        <v>44</v>
      </c>
      <c r="S52" s="28">
        <v>900.0</v>
      </c>
      <c r="T52" s="30">
        <f t="shared" si="1"/>
        <v>0</v>
      </c>
      <c r="U52" s="28" t="s">
        <v>45</v>
      </c>
      <c r="V52" s="28" t="s">
        <v>46</v>
      </c>
      <c r="W52" s="1" t="s">
        <v>47</v>
      </c>
      <c r="X52" s="1" t="s">
        <v>47</v>
      </c>
      <c r="Y52" s="1" t="s">
        <v>47</v>
      </c>
      <c r="Z52" s="1" t="s">
        <v>47</v>
      </c>
      <c r="AA52" s="1" t="s">
        <v>48</v>
      </c>
      <c r="AB52" s="1" t="s">
        <v>47</v>
      </c>
      <c r="AC52" s="1" t="s">
        <v>47</v>
      </c>
      <c r="AD52" s="1" t="s">
        <v>47</v>
      </c>
      <c r="AE52" s="1" t="s">
        <v>47</v>
      </c>
      <c r="AF52" s="1" t="s">
        <v>49</v>
      </c>
      <c r="AG52" s="31"/>
      <c r="AH52" s="31"/>
      <c r="AI52" s="1"/>
      <c r="AJ52" s="1"/>
      <c r="AK52" s="1"/>
      <c r="AL52" s="1"/>
      <c r="AM52" s="1"/>
      <c r="AN52" s="1"/>
      <c r="AO52" s="1"/>
      <c r="AP52" s="1"/>
    </row>
    <row r="53" ht="15.75" customHeight="1">
      <c r="A53" s="27">
        <v>21407.0</v>
      </c>
      <c r="B53" s="27" t="s">
        <v>71</v>
      </c>
      <c r="C53" s="27" t="s">
        <v>72</v>
      </c>
      <c r="D53" s="28" t="s">
        <v>39</v>
      </c>
      <c r="E53" s="28">
        <v>39.0</v>
      </c>
      <c r="F53" s="28">
        <v>34.0</v>
      </c>
      <c r="G53" s="29">
        <v>96.0</v>
      </c>
      <c r="H53" s="29">
        <v>89.0</v>
      </c>
      <c r="I53" s="29">
        <v>100.0</v>
      </c>
      <c r="J53" s="29">
        <v>100.0</v>
      </c>
      <c r="K53" s="29">
        <v>100.0</v>
      </c>
      <c r="L53" s="29">
        <v>100.0</v>
      </c>
      <c r="M53" s="29">
        <v>93.0</v>
      </c>
      <c r="N53" s="29">
        <v>99.5</v>
      </c>
      <c r="O53" s="28"/>
      <c r="P53" s="29">
        <f t="shared" si="3"/>
        <v>777.5</v>
      </c>
      <c r="Q53" s="28" t="s">
        <v>40</v>
      </c>
      <c r="R53" s="28"/>
      <c r="S53" s="28">
        <v>800.0</v>
      </c>
      <c r="T53" s="30">
        <f t="shared" si="1"/>
        <v>0.971875</v>
      </c>
      <c r="U53" s="28"/>
      <c r="V53" s="28"/>
      <c r="W53" s="1"/>
      <c r="AG53" s="31"/>
      <c r="AH53" s="31"/>
      <c r="AI53" s="1"/>
      <c r="AJ53" s="1"/>
      <c r="AK53" s="1"/>
      <c r="AL53" s="1"/>
      <c r="AM53" s="1"/>
      <c r="AN53" s="1"/>
      <c r="AO53" s="1"/>
      <c r="AP53" s="1"/>
    </row>
    <row r="54" ht="15.75" customHeight="1">
      <c r="A54" s="27"/>
      <c r="B54" s="27"/>
      <c r="C54" s="27"/>
      <c r="D54" s="28" t="s">
        <v>41</v>
      </c>
      <c r="E54" s="28">
        <v>46.0</v>
      </c>
      <c r="F54" s="28">
        <v>37.0</v>
      </c>
      <c r="G54" s="29">
        <v>92.25</v>
      </c>
      <c r="H54" s="29">
        <v>95.5</v>
      </c>
      <c r="I54" s="29">
        <v>91.5</v>
      </c>
      <c r="J54" s="29">
        <v>90.0</v>
      </c>
      <c r="K54" s="29">
        <v>99.0</v>
      </c>
      <c r="L54" s="29">
        <v>76.0</v>
      </c>
      <c r="M54" s="29">
        <v>84.5</v>
      </c>
      <c r="N54" s="29">
        <v>98.0</v>
      </c>
      <c r="O54" s="28"/>
      <c r="P54" s="29">
        <f t="shared" si="3"/>
        <v>726.75</v>
      </c>
      <c r="Q54" s="28" t="s">
        <v>40</v>
      </c>
      <c r="R54" s="28"/>
      <c r="S54" s="28">
        <v>800.0</v>
      </c>
      <c r="T54" s="30">
        <f t="shared" si="1"/>
        <v>0.9084375</v>
      </c>
      <c r="U54" s="28"/>
      <c r="V54" s="28"/>
      <c r="AG54" s="31"/>
      <c r="AH54" s="31"/>
      <c r="AI54" s="1"/>
      <c r="AJ54" s="1"/>
      <c r="AK54" s="1"/>
      <c r="AL54" s="1"/>
      <c r="AM54" s="1"/>
      <c r="AN54" s="1"/>
      <c r="AO54" s="1"/>
      <c r="AP54" s="1"/>
    </row>
    <row r="55" ht="15.75" customHeight="1">
      <c r="A55" s="27"/>
      <c r="B55" s="27"/>
      <c r="C55" s="27"/>
      <c r="D55" s="28" t="s">
        <v>42</v>
      </c>
      <c r="E55" s="28">
        <v>0.0</v>
      </c>
      <c r="F55" s="28">
        <v>0.0</v>
      </c>
      <c r="G55" s="29">
        <v>0.0</v>
      </c>
      <c r="H55" s="29">
        <v>0.0</v>
      </c>
      <c r="I55" s="29">
        <v>0.0</v>
      </c>
      <c r="J55" s="29">
        <v>0.0</v>
      </c>
      <c r="K55" s="29">
        <v>0.0</v>
      </c>
      <c r="L55" s="29">
        <v>0.0</v>
      </c>
      <c r="M55" s="29">
        <v>0.0</v>
      </c>
      <c r="N55" s="29">
        <v>0.0</v>
      </c>
      <c r="O55" s="28"/>
      <c r="P55" s="29">
        <f t="shared" si="3"/>
        <v>0</v>
      </c>
      <c r="Q55" s="28" t="s">
        <v>40</v>
      </c>
      <c r="R55" s="28"/>
      <c r="S55" s="28">
        <v>800.0</v>
      </c>
      <c r="T55" s="30">
        <f t="shared" si="1"/>
        <v>0</v>
      </c>
      <c r="U55" s="28"/>
      <c r="V55" s="28"/>
      <c r="AG55" s="31"/>
      <c r="AH55" s="31"/>
      <c r="AI55" s="1"/>
      <c r="AJ55" s="1"/>
      <c r="AK55" s="1"/>
      <c r="AL55" s="1"/>
      <c r="AM55" s="1"/>
      <c r="AN55" s="1"/>
      <c r="AO55" s="1"/>
      <c r="AP55" s="1"/>
    </row>
    <row r="56" ht="15.75" customHeight="1">
      <c r="A56" s="27"/>
      <c r="B56" s="27"/>
      <c r="C56" s="27"/>
      <c r="D56" s="28" t="s">
        <v>43</v>
      </c>
      <c r="E56" s="28">
        <v>0.0</v>
      </c>
      <c r="F56" s="28">
        <v>0.0</v>
      </c>
      <c r="G56" s="29">
        <v>0.0</v>
      </c>
      <c r="H56" s="29">
        <v>0.0</v>
      </c>
      <c r="I56" s="29">
        <v>0.0</v>
      </c>
      <c r="J56" s="29">
        <v>0.0</v>
      </c>
      <c r="K56" s="29">
        <v>0.0</v>
      </c>
      <c r="L56" s="29">
        <v>0.0</v>
      </c>
      <c r="M56" s="29">
        <v>0.0</v>
      </c>
      <c r="N56" s="29">
        <v>0.0</v>
      </c>
      <c r="O56" s="28">
        <v>0.0</v>
      </c>
      <c r="P56" s="29">
        <f t="shared" si="3"/>
        <v>0</v>
      </c>
      <c r="Q56" s="28" t="s">
        <v>40</v>
      </c>
      <c r="R56" s="28" t="s">
        <v>44</v>
      </c>
      <c r="S56" s="28">
        <v>900.0</v>
      </c>
      <c r="T56" s="30">
        <f t="shared" si="1"/>
        <v>0</v>
      </c>
      <c r="U56" s="28" t="s">
        <v>45</v>
      </c>
      <c r="V56" s="28" t="s">
        <v>46</v>
      </c>
      <c r="W56" s="1" t="s">
        <v>47</v>
      </c>
      <c r="X56" s="1" t="s">
        <v>47</v>
      </c>
      <c r="Y56" s="1" t="s">
        <v>47</v>
      </c>
      <c r="Z56" s="1" t="s">
        <v>47</v>
      </c>
      <c r="AA56" s="1" t="s">
        <v>48</v>
      </c>
      <c r="AB56" s="1" t="s">
        <v>47</v>
      </c>
      <c r="AC56" s="1" t="s">
        <v>47</v>
      </c>
      <c r="AD56" s="1" t="s">
        <v>47</v>
      </c>
      <c r="AE56" s="1" t="s">
        <v>47</v>
      </c>
      <c r="AF56" s="1" t="s">
        <v>49</v>
      </c>
      <c r="AG56" s="31"/>
      <c r="AH56" s="31"/>
      <c r="AI56" s="1"/>
      <c r="AJ56" s="1"/>
      <c r="AK56" s="1"/>
      <c r="AL56" s="1"/>
      <c r="AM56" s="1"/>
      <c r="AN56" s="1"/>
      <c r="AO56" s="1"/>
      <c r="AP56" s="1"/>
    </row>
    <row r="57" ht="15.75" customHeight="1">
      <c r="A57" s="27">
        <v>21413.0</v>
      </c>
      <c r="B57" s="27" t="s">
        <v>73</v>
      </c>
      <c r="C57" s="27" t="s">
        <v>74</v>
      </c>
      <c r="D57" s="28" t="s">
        <v>39</v>
      </c>
      <c r="E57" s="28">
        <v>39.0</v>
      </c>
      <c r="F57" s="28">
        <v>23.0</v>
      </c>
      <c r="G57" s="29">
        <v>80.0</v>
      </c>
      <c r="H57" s="29">
        <v>88.5</v>
      </c>
      <c r="I57" s="29">
        <v>76.0</v>
      </c>
      <c r="J57" s="29">
        <v>80.0</v>
      </c>
      <c r="K57" s="29">
        <v>90.0</v>
      </c>
      <c r="L57" s="29">
        <v>97.0</v>
      </c>
      <c r="M57" s="29">
        <v>75.5</v>
      </c>
      <c r="N57" s="29">
        <v>97.0</v>
      </c>
      <c r="O57" s="28"/>
      <c r="P57" s="29">
        <f t="shared" si="3"/>
        <v>684</v>
      </c>
      <c r="Q57" s="28" t="s">
        <v>40</v>
      </c>
      <c r="R57" s="28"/>
      <c r="S57" s="28">
        <v>800.0</v>
      </c>
      <c r="T57" s="30">
        <f t="shared" si="1"/>
        <v>0.855</v>
      </c>
      <c r="U57" s="28"/>
      <c r="V57" s="28"/>
      <c r="W57" s="1"/>
      <c r="AG57" s="31"/>
      <c r="AH57" s="31"/>
      <c r="AI57" s="1"/>
      <c r="AJ57" s="1"/>
      <c r="AK57" s="1"/>
      <c r="AL57" s="1"/>
      <c r="AM57" s="1"/>
      <c r="AN57" s="1"/>
      <c r="AO57" s="1"/>
      <c r="AP57" s="1"/>
    </row>
    <row r="58" ht="15.75" customHeight="1">
      <c r="A58" s="27"/>
      <c r="B58" s="27"/>
      <c r="C58" s="27"/>
      <c r="D58" s="28" t="s">
        <v>41</v>
      </c>
      <c r="E58" s="28">
        <v>46.0</v>
      </c>
      <c r="F58" s="28">
        <v>35.0</v>
      </c>
      <c r="G58" s="29">
        <v>92.0</v>
      </c>
      <c r="H58" s="29">
        <v>82.5</v>
      </c>
      <c r="I58" s="29">
        <v>40.0</v>
      </c>
      <c r="J58" s="29">
        <v>70.0</v>
      </c>
      <c r="K58" s="29">
        <v>85.0</v>
      </c>
      <c r="L58" s="29">
        <v>40.0</v>
      </c>
      <c r="M58" s="29">
        <v>65.0</v>
      </c>
      <c r="N58" s="29">
        <v>68.0</v>
      </c>
      <c r="O58" s="28"/>
      <c r="P58" s="29">
        <f t="shared" si="3"/>
        <v>542.5</v>
      </c>
      <c r="Q58" s="28" t="s">
        <v>40</v>
      </c>
      <c r="R58" s="28"/>
      <c r="S58" s="28">
        <v>800.0</v>
      </c>
      <c r="T58" s="30">
        <f t="shared" si="1"/>
        <v>0.678125</v>
      </c>
      <c r="U58" s="28"/>
      <c r="V58" s="28"/>
      <c r="AG58" s="31"/>
      <c r="AH58" s="31"/>
      <c r="AI58" s="1"/>
      <c r="AJ58" s="1"/>
      <c r="AK58" s="1"/>
      <c r="AL58" s="1"/>
      <c r="AM58" s="1"/>
      <c r="AN58" s="1"/>
      <c r="AO58" s="1"/>
      <c r="AP58" s="1"/>
    </row>
    <row r="59" ht="15.75" customHeight="1">
      <c r="A59" s="27"/>
      <c r="B59" s="27"/>
      <c r="C59" s="27"/>
      <c r="D59" s="28" t="s">
        <v>42</v>
      </c>
      <c r="E59" s="28">
        <v>0.0</v>
      </c>
      <c r="F59" s="28">
        <v>0.0</v>
      </c>
      <c r="G59" s="29">
        <v>0.0</v>
      </c>
      <c r="H59" s="29">
        <v>0.0</v>
      </c>
      <c r="I59" s="29">
        <v>0.0</v>
      </c>
      <c r="J59" s="29">
        <v>0.0</v>
      </c>
      <c r="K59" s="29">
        <v>0.0</v>
      </c>
      <c r="L59" s="29">
        <v>0.0</v>
      </c>
      <c r="M59" s="29">
        <v>0.0</v>
      </c>
      <c r="N59" s="29">
        <v>0.0</v>
      </c>
      <c r="O59" s="28"/>
      <c r="P59" s="29">
        <f t="shared" si="3"/>
        <v>0</v>
      </c>
      <c r="Q59" s="28" t="s">
        <v>40</v>
      </c>
      <c r="R59" s="28"/>
      <c r="S59" s="28">
        <v>800.0</v>
      </c>
      <c r="T59" s="30">
        <f t="shared" si="1"/>
        <v>0</v>
      </c>
      <c r="U59" s="28"/>
      <c r="V59" s="28"/>
      <c r="AG59" s="31"/>
      <c r="AH59" s="31"/>
      <c r="AI59" s="1"/>
      <c r="AJ59" s="1"/>
      <c r="AK59" s="1"/>
      <c r="AL59" s="1"/>
      <c r="AM59" s="1"/>
      <c r="AN59" s="1"/>
      <c r="AO59" s="1"/>
      <c r="AP59" s="1"/>
    </row>
    <row r="60" ht="15.75" customHeight="1">
      <c r="A60" s="27"/>
      <c r="B60" s="27"/>
      <c r="C60" s="27"/>
      <c r="D60" s="28" t="s">
        <v>43</v>
      </c>
      <c r="E60" s="28">
        <v>0.0</v>
      </c>
      <c r="F60" s="28">
        <v>0.0</v>
      </c>
      <c r="G60" s="29">
        <v>0.0</v>
      </c>
      <c r="H60" s="29">
        <v>0.0</v>
      </c>
      <c r="I60" s="29">
        <v>0.0</v>
      </c>
      <c r="J60" s="29">
        <v>0.0</v>
      </c>
      <c r="K60" s="29">
        <v>0.0</v>
      </c>
      <c r="L60" s="29">
        <v>0.0</v>
      </c>
      <c r="M60" s="29">
        <v>0.0</v>
      </c>
      <c r="N60" s="29">
        <v>0.0</v>
      </c>
      <c r="O60" s="28">
        <v>0.0</v>
      </c>
      <c r="P60" s="29">
        <f t="shared" si="3"/>
        <v>0</v>
      </c>
      <c r="Q60" s="28" t="s">
        <v>40</v>
      </c>
      <c r="R60" s="28" t="s">
        <v>44</v>
      </c>
      <c r="S60" s="28">
        <v>900.0</v>
      </c>
      <c r="T60" s="30">
        <f t="shared" si="1"/>
        <v>0</v>
      </c>
      <c r="U60" s="28" t="s">
        <v>45</v>
      </c>
      <c r="V60" s="28" t="s">
        <v>46</v>
      </c>
      <c r="W60" s="1" t="s">
        <v>47</v>
      </c>
      <c r="X60" s="1" t="s">
        <v>47</v>
      </c>
      <c r="Y60" s="1" t="s">
        <v>47</v>
      </c>
      <c r="Z60" s="1" t="s">
        <v>47</v>
      </c>
      <c r="AA60" s="1" t="s">
        <v>48</v>
      </c>
      <c r="AB60" s="1" t="s">
        <v>47</v>
      </c>
      <c r="AC60" s="1" t="s">
        <v>47</v>
      </c>
      <c r="AD60" s="1" t="s">
        <v>47</v>
      </c>
      <c r="AE60" s="1" t="s">
        <v>47</v>
      </c>
      <c r="AF60" s="1" t="s">
        <v>49</v>
      </c>
      <c r="AG60" s="31"/>
      <c r="AH60" s="31"/>
      <c r="AI60" s="1"/>
      <c r="AJ60" s="1"/>
      <c r="AK60" s="1"/>
      <c r="AL60" s="1"/>
      <c r="AM60" s="1"/>
      <c r="AN60" s="1"/>
      <c r="AO60" s="1"/>
      <c r="AP60" s="1"/>
    </row>
    <row r="61" ht="15.75" customHeight="1">
      <c r="A61" s="27">
        <v>21414.0</v>
      </c>
      <c r="B61" s="32" t="s">
        <v>75</v>
      </c>
      <c r="C61" s="27" t="s">
        <v>76</v>
      </c>
      <c r="D61" s="28" t="s">
        <v>39</v>
      </c>
      <c r="E61" s="28">
        <v>39.0</v>
      </c>
      <c r="F61" s="28">
        <v>30.0</v>
      </c>
      <c r="G61" s="29">
        <v>90.5</v>
      </c>
      <c r="H61" s="29">
        <v>64.0</v>
      </c>
      <c r="I61" s="29">
        <v>71.0</v>
      </c>
      <c r="J61" s="29">
        <v>98.5</v>
      </c>
      <c r="K61" s="29">
        <v>96.0</v>
      </c>
      <c r="L61" s="29">
        <v>80.0</v>
      </c>
      <c r="M61" s="29">
        <v>70.0</v>
      </c>
      <c r="N61" s="29">
        <v>70.0</v>
      </c>
      <c r="O61" s="28"/>
      <c r="P61" s="29">
        <f t="shared" si="3"/>
        <v>640</v>
      </c>
      <c r="Q61" s="28" t="s">
        <v>40</v>
      </c>
      <c r="R61" s="28"/>
      <c r="S61" s="28">
        <v>800.0</v>
      </c>
      <c r="T61" s="30">
        <f t="shared" si="1"/>
        <v>0.8</v>
      </c>
      <c r="U61" s="28"/>
      <c r="V61" s="28"/>
      <c r="W61" s="1"/>
      <c r="AG61" s="31"/>
      <c r="AH61" s="31"/>
      <c r="AI61" s="1"/>
      <c r="AJ61" s="1"/>
      <c r="AK61" s="1"/>
      <c r="AL61" s="1"/>
      <c r="AM61" s="1"/>
      <c r="AN61" s="1"/>
      <c r="AO61" s="1"/>
      <c r="AP61" s="1"/>
    </row>
    <row r="62" ht="15.75" customHeight="1">
      <c r="A62" s="27" t="s">
        <v>77</v>
      </c>
      <c r="D62" s="28" t="s">
        <v>41</v>
      </c>
      <c r="E62" s="28">
        <v>46.0</v>
      </c>
      <c r="F62" s="28">
        <v>38.0</v>
      </c>
      <c r="G62" s="29">
        <v>89.0</v>
      </c>
      <c r="H62" s="29">
        <v>82.5</v>
      </c>
      <c r="I62" s="29">
        <v>40.0</v>
      </c>
      <c r="J62" s="29">
        <v>84.0</v>
      </c>
      <c r="K62" s="29">
        <v>71.5</v>
      </c>
      <c r="L62" s="29">
        <v>54.5</v>
      </c>
      <c r="M62" s="29">
        <v>64.0</v>
      </c>
      <c r="N62" s="29">
        <v>69.5</v>
      </c>
      <c r="O62" s="28"/>
      <c r="P62" s="29">
        <f t="shared" si="3"/>
        <v>555</v>
      </c>
      <c r="Q62" s="28" t="s">
        <v>40</v>
      </c>
      <c r="R62" s="28"/>
      <c r="S62" s="28">
        <v>800.0</v>
      </c>
      <c r="T62" s="30">
        <f t="shared" si="1"/>
        <v>0.69375</v>
      </c>
      <c r="U62" s="28"/>
      <c r="V62" s="28"/>
      <c r="AG62" s="31"/>
      <c r="AH62" s="31"/>
      <c r="AI62" s="1"/>
      <c r="AJ62" s="1"/>
      <c r="AK62" s="1"/>
      <c r="AL62" s="1"/>
      <c r="AM62" s="1"/>
      <c r="AN62" s="1"/>
      <c r="AO62" s="1"/>
      <c r="AP62" s="1"/>
    </row>
    <row r="63" ht="15.75" customHeight="1">
      <c r="D63" s="28" t="s">
        <v>42</v>
      </c>
      <c r="E63" s="28">
        <v>0.0</v>
      </c>
      <c r="F63" s="28">
        <v>0.0</v>
      </c>
      <c r="G63" s="29">
        <v>0.0</v>
      </c>
      <c r="H63" s="29">
        <v>0.0</v>
      </c>
      <c r="I63" s="29">
        <v>0.0</v>
      </c>
      <c r="J63" s="29">
        <v>0.0</v>
      </c>
      <c r="K63" s="29">
        <v>0.0</v>
      </c>
      <c r="L63" s="29">
        <v>0.0</v>
      </c>
      <c r="M63" s="29">
        <v>0.0</v>
      </c>
      <c r="N63" s="29">
        <v>0.0</v>
      </c>
      <c r="O63" s="28"/>
      <c r="P63" s="29">
        <f t="shared" si="3"/>
        <v>0</v>
      </c>
      <c r="Q63" s="28" t="s">
        <v>40</v>
      </c>
      <c r="R63" s="28"/>
      <c r="S63" s="28">
        <v>800.0</v>
      </c>
      <c r="T63" s="30">
        <f t="shared" si="1"/>
        <v>0</v>
      </c>
      <c r="U63" s="28"/>
      <c r="V63" s="28"/>
      <c r="AG63" s="31"/>
      <c r="AH63" s="31"/>
      <c r="AI63" s="1"/>
      <c r="AJ63" s="1"/>
      <c r="AK63" s="1"/>
      <c r="AL63" s="1"/>
      <c r="AM63" s="1"/>
      <c r="AN63" s="1"/>
      <c r="AO63" s="1"/>
      <c r="AP63" s="1"/>
    </row>
    <row r="64" ht="15.75" customHeight="1">
      <c r="D64" s="28" t="s">
        <v>43</v>
      </c>
      <c r="E64" s="28">
        <v>0.0</v>
      </c>
      <c r="F64" s="28">
        <v>0.0</v>
      </c>
      <c r="G64" s="29">
        <v>0.0</v>
      </c>
      <c r="H64" s="29">
        <v>0.0</v>
      </c>
      <c r="I64" s="29">
        <v>0.0</v>
      </c>
      <c r="J64" s="29">
        <v>0.0</v>
      </c>
      <c r="K64" s="29">
        <v>0.0</v>
      </c>
      <c r="L64" s="29">
        <v>0.0</v>
      </c>
      <c r="M64" s="29">
        <v>0.0</v>
      </c>
      <c r="N64" s="29">
        <v>0.0</v>
      </c>
      <c r="O64" s="28">
        <v>0.0</v>
      </c>
      <c r="P64" s="29">
        <f t="shared" si="3"/>
        <v>0</v>
      </c>
      <c r="Q64" s="28" t="s">
        <v>40</v>
      </c>
      <c r="R64" s="28" t="s">
        <v>44</v>
      </c>
      <c r="S64" s="28">
        <v>900.0</v>
      </c>
      <c r="T64" s="30">
        <f t="shared" si="1"/>
        <v>0</v>
      </c>
      <c r="U64" s="28" t="s">
        <v>45</v>
      </c>
      <c r="V64" s="28" t="s">
        <v>46</v>
      </c>
      <c r="W64" s="1" t="s">
        <v>47</v>
      </c>
      <c r="X64" s="1" t="s">
        <v>47</v>
      </c>
      <c r="Y64" s="1" t="s">
        <v>47</v>
      </c>
      <c r="Z64" s="1" t="s">
        <v>47</v>
      </c>
      <c r="AA64" s="1" t="s">
        <v>48</v>
      </c>
      <c r="AB64" s="1" t="s">
        <v>47</v>
      </c>
      <c r="AC64" s="1" t="s">
        <v>47</v>
      </c>
      <c r="AD64" s="1" t="s">
        <v>47</v>
      </c>
      <c r="AE64" s="1" t="s">
        <v>47</v>
      </c>
      <c r="AF64" s="1" t="s">
        <v>49</v>
      </c>
      <c r="AG64" s="31"/>
      <c r="AH64" s="31"/>
      <c r="AI64" s="1"/>
      <c r="AJ64" s="1"/>
      <c r="AK64" s="1"/>
      <c r="AL64" s="1"/>
      <c r="AM64" s="1"/>
      <c r="AN64" s="1"/>
      <c r="AO64" s="1"/>
      <c r="AP64" s="1"/>
    </row>
    <row r="65" ht="15.75" customHeight="1">
      <c r="A65" s="27">
        <v>21417.0</v>
      </c>
      <c r="B65" s="27" t="s">
        <v>78</v>
      </c>
      <c r="C65" s="27" t="s">
        <v>79</v>
      </c>
      <c r="D65" s="28" t="s">
        <v>39</v>
      </c>
      <c r="E65" s="28">
        <v>39.0</v>
      </c>
      <c r="F65" s="28">
        <v>36.0</v>
      </c>
      <c r="G65" s="29">
        <v>80.0</v>
      </c>
      <c r="H65" s="29">
        <v>71.5</v>
      </c>
      <c r="I65" s="29">
        <v>65.0</v>
      </c>
      <c r="J65" s="29">
        <v>97.5</v>
      </c>
      <c r="K65" s="29">
        <v>100.0</v>
      </c>
      <c r="L65" s="29">
        <v>97.0</v>
      </c>
      <c r="M65" s="29">
        <v>72.5</v>
      </c>
      <c r="N65" s="29">
        <v>90.0</v>
      </c>
      <c r="O65" s="28"/>
      <c r="P65" s="29">
        <f t="shared" si="3"/>
        <v>673.5</v>
      </c>
      <c r="Q65" s="28" t="s">
        <v>40</v>
      </c>
      <c r="R65" s="28"/>
      <c r="S65" s="28">
        <v>800.0</v>
      </c>
      <c r="T65" s="30">
        <f t="shared" si="1"/>
        <v>0.841875</v>
      </c>
      <c r="U65" s="28"/>
      <c r="V65" s="28"/>
      <c r="W65" s="1"/>
      <c r="AG65" s="31"/>
      <c r="AH65" s="31"/>
      <c r="AI65" s="1"/>
      <c r="AJ65" s="1"/>
      <c r="AK65" s="1"/>
      <c r="AL65" s="1"/>
      <c r="AM65" s="1"/>
      <c r="AN65" s="1"/>
      <c r="AO65" s="1"/>
      <c r="AP65" s="1"/>
    </row>
    <row r="66" ht="15.75" customHeight="1">
      <c r="A66" s="27"/>
      <c r="D66" s="28" t="s">
        <v>41</v>
      </c>
      <c r="E66" s="28">
        <v>46.0</v>
      </c>
      <c r="F66" s="28">
        <v>43.0</v>
      </c>
      <c r="G66" s="29">
        <v>66.5</v>
      </c>
      <c r="H66" s="29">
        <v>67.5</v>
      </c>
      <c r="I66" s="29">
        <v>50.5</v>
      </c>
      <c r="J66" s="29">
        <v>69.5</v>
      </c>
      <c r="K66" s="29">
        <v>68.0</v>
      </c>
      <c r="L66" s="29">
        <v>53.0</v>
      </c>
      <c r="M66" s="29">
        <v>63.5</v>
      </c>
      <c r="N66" s="29">
        <v>85.5</v>
      </c>
      <c r="O66" s="28"/>
      <c r="P66" s="29">
        <f t="shared" si="3"/>
        <v>524</v>
      </c>
      <c r="Q66" s="28" t="s">
        <v>40</v>
      </c>
      <c r="R66" s="28"/>
      <c r="S66" s="28">
        <v>800.0</v>
      </c>
      <c r="T66" s="30">
        <f t="shared" si="1"/>
        <v>0.655</v>
      </c>
      <c r="U66" s="28"/>
      <c r="V66" s="28"/>
      <c r="AG66" s="31"/>
      <c r="AH66" s="31"/>
      <c r="AI66" s="1"/>
      <c r="AJ66" s="1"/>
      <c r="AK66" s="1"/>
      <c r="AL66" s="1"/>
      <c r="AM66" s="1"/>
      <c r="AN66" s="1"/>
      <c r="AO66" s="1"/>
      <c r="AP66" s="1"/>
    </row>
    <row r="67" ht="15.75" customHeight="1">
      <c r="D67" s="28" t="s">
        <v>42</v>
      </c>
      <c r="E67" s="28">
        <v>0.0</v>
      </c>
      <c r="F67" s="28">
        <v>0.0</v>
      </c>
      <c r="G67" s="29">
        <v>0.0</v>
      </c>
      <c r="H67" s="29">
        <v>0.0</v>
      </c>
      <c r="I67" s="29">
        <v>0.0</v>
      </c>
      <c r="J67" s="29">
        <v>0.0</v>
      </c>
      <c r="K67" s="29">
        <v>0.0</v>
      </c>
      <c r="L67" s="29">
        <v>0.0</v>
      </c>
      <c r="M67" s="29">
        <v>0.0</v>
      </c>
      <c r="N67" s="29">
        <v>0.0</v>
      </c>
      <c r="O67" s="28"/>
      <c r="P67" s="29">
        <f t="shared" si="3"/>
        <v>0</v>
      </c>
      <c r="Q67" s="28" t="s">
        <v>40</v>
      </c>
      <c r="R67" s="28"/>
      <c r="S67" s="28">
        <v>800.0</v>
      </c>
      <c r="T67" s="30">
        <f t="shared" si="1"/>
        <v>0</v>
      </c>
      <c r="U67" s="28"/>
      <c r="V67" s="28"/>
      <c r="AG67" s="31"/>
      <c r="AH67" s="31"/>
      <c r="AI67" s="1"/>
      <c r="AJ67" s="1"/>
      <c r="AK67" s="1"/>
      <c r="AL67" s="1"/>
      <c r="AM67" s="1"/>
      <c r="AN67" s="1"/>
      <c r="AO67" s="1"/>
      <c r="AP67" s="1"/>
    </row>
    <row r="68" ht="15.75" customHeight="1">
      <c r="D68" s="28" t="s">
        <v>43</v>
      </c>
      <c r="E68" s="28">
        <v>0.0</v>
      </c>
      <c r="F68" s="28">
        <v>0.0</v>
      </c>
      <c r="G68" s="29">
        <v>0.0</v>
      </c>
      <c r="H68" s="29">
        <v>0.0</v>
      </c>
      <c r="I68" s="29">
        <v>0.0</v>
      </c>
      <c r="J68" s="29">
        <v>0.0</v>
      </c>
      <c r="K68" s="29">
        <v>0.0</v>
      </c>
      <c r="L68" s="29">
        <v>0.0</v>
      </c>
      <c r="M68" s="29">
        <v>0.0</v>
      </c>
      <c r="N68" s="29">
        <v>0.0</v>
      </c>
      <c r="O68" s="28">
        <v>0.0</v>
      </c>
      <c r="P68" s="29">
        <f t="shared" si="3"/>
        <v>0</v>
      </c>
      <c r="Q68" s="28" t="s">
        <v>40</v>
      </c>
      <c r="R68" s="28" t="s">
        <v>44</v>
      </c>
      <c r="S68" s="28">
        <v>900.0</v>
      </c>
      <c r="T68" s="30">
        <f t="shared" si="1"/>
        <v>0</v>
      </c>
      <c r="U68" s="28" t="s">
        <v>45</v>
      </c>
      <c r="V68" s="28" t="s">
        <v>46</v>
      </c>
      <c r="W68" s="1" t="s">
        <v>47</v>
      </c>
      <c r="X68" s="1" t="s">
        <v>47</v>
      </c>
      <c r="Y68" s="1" t="s">
        <v>47</v>
      </c>
      <c r="Z68" s="1" t="s">
        <v>47</v>
      </c>
      <c r="AA68" s="1" t="s">
        <v>48</v>
      </c>
      <c r="AB68" s="1" t="s">
        <v>47</v>
      </c>
      <c r="AC68" s="1" t="s">
        <v>47</v>
      </c>
      <c r="AD68" s="1" t="s">
        <v>47</v>
      </c>
      <c r="AE68" s="1" t="s">
        <v>47</v>
      </c>
      <c r="AF68" s="1" t="s">
        <v>49</v>
      </c>
      <c r="AG68" s="31"/>
      <c r="AH68" s="31"/>
      <c r="AI68" s="1"/>
      <c r="AJ68" s="1"/>
      <c r="AK68" s="1"/>
      <c r="AL68" s="1"/>
      <c r="AM68" s="1"/>
      <c r="AN68" s="1"/>
      <c r="AO68" s="1"/>
      <c r="AP68" s="1"/>
    </row>
    <row r="69" ht="15.75" customHeight="1">
      <c r="A69" s="27">
        <v>21423.0</v>
      </c>
      <c r="B69" s="27" t="s">
        <v>80</v>
      </c>
      <c r="C69" s="27" t="s">
        <v>81</v>
      </c>
      <c r="D69" s="28" t="s">
        <v>39</v>
      </c>
      <c r="E69" s="28">
        <v>39.0</v>
      </c>
      <c r="F69" s="28">
        <v>34.0</v>
      </c>
      <c r="G69" s="29">
        <v>98.0</v>
      </c>
      <c r="H69" s="29">
        <v>97.5</v>
      </c>
      <c r="I69" s="29">
        <v>96.5</v>
      </c>
      <c r="J69" s="29">
        <v>99.5</v>
      </c>
      <c r="K69" s="29">
        <v>99.0</v>
      </c>
      <c r="L69" s="29">
        <v>99.0</v>
      </c>
      <c r="M69" s="29">
        <v>94.5</v>
      </c>
      <c r="N69" s="29">
        <v>99.5</v>
      </c>
      <c r="O69" s="28"/>
      <c r="P69" s="29">
        <f t="shared" si="3"/>
        <v>783.5</v>
      </c>
      <c r="Q69" s="28" t="s">
        <v>40</v>
      </c>
      <c r="R69" s="28"/>
      <c r="S69" s="28">
        <v>800.0</v>
      </c>
      <c r="T69" s="30">
        <f t="shared" si="1"/>
        <v>0.979375</v>
      </c>
      <c r="U69" s="28"/>
      <c r="V69" s="28"/>
      <c r="W69" s="1"/>
      <c r="AG69" s="31"/>
      <c r="AH69" s="31"/>
      <c r="AI69" s="1"/>
      <c r="AJ69" s="1"/>
      <c r="AK69" s="1"/>
      <c r="AL69" s="1"/>
      <c r="AM69" s="1"/>
      <c r="AN69" s="1"/>
      <c r="AO69" s="1"/>
      <c r="AP69" s="1"/>
    </row>
    <row r="70" ht="15.75" customHeight="1">
      <c r="A70" s="27"/>
      <c r="B70" s="27"/>
      <c r="C70" s="27"/>
      <c r="D70" s="28" t="s">
        <v>41</v>
      </c>
      <c r="E70" s="28">
        <v>46.0</v>
      </c>
      <c r="F70" s="28">
        <v>41.0</v>
      </c>
      <c r="G70" s="29">
        <v>81.5</v>
      </c>
      <c r="H70" s="29">
        <v>87.5</v>
      </c>
      <c r="I70" s="29">
        <v>83.5</v>
      </c>
      <c r="J70" s="29">
        <v>88.0</v>
      </c>
      <c r="K70" s="29">
        <v>76.0</v>
      </c>
      <c r="L70" s="29">
        <v>72.0</v>
      </c>
      <c r="M70" s="29">
        <v>83.5</v>
      </c>
      <c r="N70" s="29">
        <v>78.5</v>
      </c>
      <c r="O70" s="28"/>
      <c r="P70" s="29">
        <f t="shared" si="3"/>
        <v>650.5</v>
      </c>
      <c r="Q70" s="28" t="s">
        <v>40</v>
      </c>
      <c r="R70" s="28"/>
      <c r="S70" s="28">
        <v>800.0</v>
      </c>
      <c r="T70" s="30">
        <f t="shared" si="1"/>
        <v>0.813125</v>
      </c>
      <c r="U70" s="28"/>
      <c r="V70" s="28"/>
      <c r="AG70" s="31"/>
      <c r="AH70" s="31"/>
      <c r="AI70" s="1"/>
      <c r="AJ70" s="1"/>
      <c r="AK70" s="1"/>
      <c r="AL70" s="1"/>
      <c r="AM70" s="1"/>
      <c r="AN70" s="1"/>
      <c r="AO70" s="1"/>
      <c r="AP70" s="1"/>
    </row>
    <row r="71" ht="15.75" customHeight="1">
      <c r="A71" s="27"/>
      <c r="B71" s="27"/>
      <c r="C71" s="27"/>
      <c r="D71" s="28" t="s">
        <v>42</v>
      </c>
      <c r="E71" s="28">
        <v>0.0</v>
      </c>
      <c r="F71" s="28">
        <v>0.0</v>
      </c>
      <c r="G71" s="29">
        <v>0.0</v>
      </c>
      <c r="H71" s="29">
        <v>0.0</v>
      </c>
      <c r="I71" s="29">
        <v>0.0</v>
      </c>
      <c r="J71" s="29">
        <v>0.0</v>
      </c>
      <c r="K71" s="29">
        <v>0.0</v>
      </c>
      <c r="L71" s="29">
        <v>0.0</v>
      </c>
      <c r="M71" s="29">
        <v>0.0</v>
      </c>
      <c r="N71" s="29">
        <v>0.0</v>
      </c>
      <c r="O71" s="28"/>
      <c r="P71" s="29">
        <f t="shared" si="3"/>
        <v>0</v>
      </c>
      <c r="Q71" s="28" t="s">
        <v>40</v>
      </c>
      <c r="R71" s="28"/>
      <c r="S71" s="28">
        <v>800.0</v>
      </c>
      <c r="T71" s="30">
        <f t="shared" si="1"/>
        <v>0</v>
      </c>
      <c r="U71" s="28"/>
      <c r="V71" s="28"/>
      <c r="AG71" s="31"/>
      <c r="AH71" s="31"/>
      <c r="AI71" s="1"/>
      <c r="AJ71" s="1"/>
      <c r="AK71" s="1"/>
      <c r="AL71" s="1"/>
      <c r="AM71" s="1"/>
      <c r="AN71" s="1"/>
      <c r="AO71" s="1"/>
      <c r="AP71" s="1"/>
    </row>
    <row r="72" ht="15.75" customHeight="1">
      <c r="A72" s="27"/>
      <c r="B72" s="27"/>
      <c r="C72" s="27"/>
      <c r="D72" s="28" t="s">
        <v>43</v>
      </c>
      <c r="E72" s="28">
        <v>0.0</v>
      </c>
      <c r="F72" s="28">
        <v>0.0</v>
      </c>
      <c r="G72" s="29">
        <v>0.0</v>
      </c>
      <c r="H72" s="29">
        <v>0.0</v>
      </c>
      <c r="I72" s="29">
        <v>0.0</v>
      </c>
      <c r="J72" s="29">
        <v>0.0</v>
      </c>
      <c r="K72" s="29">
        <v>0.0</v>
      </c>
      <c r="L72" s="29">
        <v>0.0</v>
      </c>
      <c r="M72" s="29">
        <v>0.0</v>
      </c>
      <c r="N72" s="29">
        <v>0.0</v>
      </c>
      <c r="O72" s="28">
        <v>0.0</v>
      </c>
      <c r="P72" s="29">
        <f t="shared" si="3"/>
        <v>0</v>
      </c>
      <c r="Q72" s="28" t="s">
        <v>40</v>
      </c>
      <c r="R72" s="28" t="s">
        <v>44</v>
      </c>
      <c r="S72" s="28">
        <v>900.0</v>
      </c>
      <c r="T72" s="30">
        <f t="shared" si="1"/>
        <v>0</v>
      </c>
      <c r="U72" s="28" t="s">
        <v>45</v>
      </c>
      <c r="V72" s="28" t="s">
        <v>46</v>
      </c>
      <c r="W72" s="1" t="s">
        <v>47</v>
      </c>
      <c r="X72" s="1" t="s">
        <v>47</v>
      </c>
      <c r="Y72" s="1" t="s">
        <v>47</v>
      </c>
      <c r="Z72" s="1" t="s">
        <v>47</v>
      </c>
      <c r="AA72" s="1" t="s">
        <v>48</v>
      </c>
      <c r="AB72" s="1" t="s">
        <v>47</v>
      </c>
      <c r="AC72" s="1" t="s">
        <v>47</v>
      </c>
      <c r="AD72" s="1" t="s">
        <v>47</v>
      </c>
      <c r="AE72" s="1" t="s">
        <v>47</v>
      </c>
      <c r="AF72" s="1" t="s">
        <v>49</v>
      </c>
      <c r="AG72" s="31"/>
      <c r="AH72" s="31"/>
      <c r="AI72" s="1"/>
      <c r="AJ72" s="1"/>
      <c r="AK72" s="1"/>
      <c r="AL72" s="1"/>
      <c r="AM72" s="1"/>
      <c r="AN72" s="1"/>
      <c r="AO72" s="1"/>
      <c r="AP72" s="1"/>
    </row>
    <row r="73" ht="15.75" customHeight="1">
      <c r="A73" s="33">
        <v>21427.0</v>
      </c>
      <c r="B73" s="33" t="s">
        <v>82</v>
      </c>
      <c r="C73" s="33" t="s">
        <v>83</v>
      </c>
      <c r="D73" s="34" t="s">
        <v>39</v>
      </c>
      <c r="E73" s="34">
        <v>39.0</v>
      </c>
      <c r="F73" s="34">
        <v>14.0</v>
      </c>
      <c r="G73" s="35" t="s">
        <v>66</v>
      </c>
      <c r="H73" s="35" t="s">
        <v>66</v>
      </c>
      <c r="I73" s="35" t="s">
        <v>66</v>
      </c>
      <c r="J73" s="35" t="s">
        <v>66</v>
      </c>
      <c r="K73" s="35" t="s">
        <v>66</v>
      </c>
      <c r="L73" s="35" t="s">
        <v>66</v>
      </c>
      <c r="M73" s="35" t="s">
        <v>66</v>
      </c>
      <c r="N73" s="35" t="s">
        <v>66</v>
      </c>
      <c r="O73" s="36"/>
      <c r="P73" s="35">
        <f>SUM(G73:N73)</f>
        <v>0</v>
      </c>
      <c r="Q73" s="34" t="s">
        <v>40</v>
      </c>
      <c r="R73" s="36"/>
      <c r="S73" s="34">
        <v>800.0</v>
      </c>
      <c r="T73" s="37">
        <f t="shared" si="1"/>
        <v>0</v>
      </c>
      <c r="U73" s="36"/>
      <c r="V73" s="36"/>
      <c r="W73" s="38"/>
      <c r="X73" s="39"/>
      <c r="Y73" s="39"/>
      <c r="Z73" s="39"/>
      <c r="AA73" s="39"/>
      <c r="AB73" s="39"/>
      <c r="AC73" s="39"/>
      <c r="AD73" s="39"/>
      <c r="AE73" s="39"/>
      <c r="AF73" s="3"/>
      <c r="AG73" s="36"/>
      <c r="AH73" s="36"/>
      <c r="AI73" s="40"/>
      <c r="AJ73" s="40"/>
      <c r="AK73" s="40"/>
      <c r="AL73" s="40"/>
      <c r="AM73" s="40"/>
      <c r="AN73" s="40"/>
      <c r="AO73" s="40"/>
      <c r="AP73" s="40"/>
    </row>
    <row r="74" ht="15.75" customHeight="1">
      <c r="A74" s="41"/>
      <c r="B74" s="41"/>
      <c r="C74" s="41"/>
      <c r="D74" s="42" t="s">
        <v>41</v>
      </c>
      <c r="E74" s="42">
        <v>46.0</v>
      </c>
      <c r="F74" s="42">
        <v>35.0</v>
      </c>
      <c r="G74" s="43">
        <v>87.0</v>
      </c>
      <c r="H74" s="43">
        <v>50.0</v>
      </c>
      <c r="I74" s="43">
        <v>69.0</v>
      </c>
      <c r="J74" s="43">
        <v>56.5</v>
      </c>
      <c r="K74" s="43">
        <v>59.0</v>
      </c>
      <c r="L74" s="43">
        <v>53.0</v>
      </c>
      <c r="M74" s="43">
        <v>67.0</v>
      </c>
      <c r="N74" s="43">
        <v>68.5</v>
      </c>
      <c r="O74" s="41"/>
      <c r="P74" s="43">
        <f t="shared" ref="P74:P132" si="4">SUM(G74:O74)</f>
        <v>510</v>
      </c>
      <c r="Q74" s="42" t="s">
        <v>40</v>
      </c>
      <c r="R74" s="41"/>
      <c r="S74" s="42">
        <v>800.0</v>
      </c>
      <c r="T74" s="44">
        <f t="shared" si="1"/>
        <v>0.6375</v>
      </c>
      <c r="U74" s="41"/>
      <c r="V74" s="41"/>
      <c r="W74" s="45"/>
      <c r="AF74" s="46"/>
      <c r="AG74" s="36"/>
      <c r="AH74" s="36"/>
      <c r="AI74" s="40"/>
      <c r="AJ74" s="40"/>
      <c r="AK74" s="40"/>
      <c r="AL74" s="40"/>
      <c r="AM74" s="40"/>
      <c r="AN74" s="40"/>
      <c r="AO74" s="40"/>
      <c r="AP74" s="40"/>
    </row>
    <row r="75" ht="15.75" customHeight="1">
      <c r="A75" s="36"/>
      <c r="B75" s="36"/>
      <c r="C75" s="36"/>
      <c r="D75" s="34" t="s">
        <v>42</v>
      </c>
      <c r="E75" s="34">
        <v>0.0</v>
      </c>
      <c r="F75" s="34">
        <v>0.0</v>
      </c>
      <c r="G75" s="35">
        <v>0.0</v>
      </c>
      <c r="H75" s="35">
        <v>0.0</v>
      </c>
      <c r="I75" s="35">
        <v>0.0</v>
      </c>
      <c r="J75" s="35">
        <v>0.0</v>
      </c>
      <c r="K75" s="35">
        <v>0.0</v>
      </c>
      <c r="L75" s="35">
        <v>0.0</v>
      </c>
      <c r="M75" s="35">
        <v>0.0</v>
      </c>
      <c r="N75" s="35">
        <v>0.0</v>
      </c>
      <c r="O75" s="36"/>
      <c r="P75" s="35">
        <f t="shared" si="4"/>
        <v>0</v>
      </c>
      <c r="Q75" s="34" t="s">
        <v>40</v>
      </c>
      <c r="R75" s="36"/>
      <c r="S75" s="34">
        <v>800.0</v>
      </c>
      <c r="T75" s="37">
        <f t="shared" si="1"/>
        <v>0</v>
      </c>
      <c r="U75" s="36"/>
      <c r="V75" s="36"/>
      <c r="W75" s="6"/>
      <c r="X75" s="47"/>
      <c r="Y75" s="47"/>
      <c r="Z75" s="47"/>
      <c r="AA75" s="47"/>
      <c r="AB75" s="47"/>
      <c r="AC75" s="47"/>
      <c r="AD75" s="47"/>
      <c r="AE75" s="47"/>
      <c r="AF75" s="7"/>
      <c r="AG75" s="36"/>
      <c r="AH75" s="36"/>
      <c r="AI75" s="40"/>
      <c r="AJ75" s="40"/>
      <c r="AK75" s="40"/>
      <c r="AL75" s="40"/>
      <c r="AM75" s="40"/>
      <c r="AN75" s="40"/>
      <c r="AO75" s="40"/>
      <c r="AP75" s="40"/>
    </row>
    <row r="76" ht="15.75" customHeight="1">
      <c r="A76" s="41"/>
      <c r="B76" s="41"/>
      <c r="C76" s="41"/>
      <c r="D76" s="42" t="s">
        <v>43</v>
      </c>
      <c r="E76" s="42">
        <v>0.0</v>
      </c>
      <c r="F76" s="42">
        <v>0.0</v>
      </c>
      <c r="G76" s="43">
        <v>0.0</v>
      </c>
      <c r="H76" s="43">
        <v>0.0</v>
      </c>
      <c r="I76" s="43">
        <v>0.0</v>
      </c>
      <c r="J76" s="43">
        <v>0.0</v>
      </c>
      <c r="K76" s="43">
        <v>0.0</v>
      </c>
      <c r="L76" s="43">
        <v>0.0</v>
      </c>
      <c r="M76" s="43">
        <v>0.0</v>
      </c>
      <c r="N76" s="43">
        <v>0.0</v>
      </c>
      <c r="O76" s="42">
        <v>0.0</v>
      </c>
      <c r="P76" s="43">
        <f t="shared" si="4"/>
        <v>0</v>
      </c>
      <c r="Q76" s="42" t="s">
        <v>40</v>
      </c>
      <c r="R76" s="42" t="s">
        <v>44</v>
      </c>
      <c r="S76" s="42">
        <v>900.0</v>
      </c>
      <c r="T76" s="44">
        <f t="shared" si="1"/>
        <v>0</v>
      </c>
      <c r="U76" s="42" t="s">
        <v>45</v>
      </c>
      <c r="V76" s="42" t="s">
        <v>46</v>
      </c>
      <c r="W76" s="42" t="s">
        <v>47</v>
      </c>
      <c r="X76" s="42" t="s">
        <v>47</v>
      </c>
      <c r="Y76" s="42" t="s">
        <v>47</v>
      </c>
      <c r="Z76" s="42" t="s">
        <v>47</v>
      </c>
      <c r="AA76" s="42" t="s">
        <v>48</v>
      </c>
      <c r="AB76" s="42" t="s">
        <v>47</v>
      </c>
      <c r="AC76" s="42" t="s">
        <v>47</v>
      </c>
      <c r="AD76" s="42" t="s">
        <v>47</v>
      </c>
      <c r="AE76" s="42" t="s">
        <v>47</v>
      </c>
      <c r="AF76" s="42" t="s">
        <v>49</v>
      </c>
      <c r="AG76" s="36"/>
      <c r="AH76" s="36"/>
      <c r="AI76" s="40"/>
      <c r="AJ76" s="40"/>
      <c r="AK76" s="40"/>
      <c r="AL76" s="40"/>
      <c r="AM76" s="40"/>
      <c r="AN76" s="40"/>
      <c r="AO76" s="40"/>
      <c r="AP76" s="40"/>
    </row>
    <row r="77" ht="15.75" customHeight="1">
      <c r="A77" s="33">
        <v>21449.0</v>
      </c>
      <c r="B77" s="33" t="s">
        <v>84</v>
      </c>
      <c r="C77" s="33" t="s">
        <v>85</v>
      </c>
      <c r="D77" s="34" t="s">
        <v>39</v>
      </c>
      <c r="E77" s="34">
        <v>39.0</v>
      </c>
      <c r="F77" s="34">
        <v>37.0</v>
      </c>
      <c r="G77" s="35">
        <v>98.0</v>
      </c>
      <c r="H77" s="35">
        <v>86.0</v>
      </c>
      <c r="I77" s="35">
        <v>93.5</v>
      </c>
      <c r="J77" s="35">
        <v>97.5</v>
      </c>
      <c r="K77" s="35">
        <v>92.0</v>
      </c>
      <c r="L77" s="35">
        <v>98.0</v>
      </c>
      <c r="M77" s="35">
        <v>87.5</v>
      </c>
      <c r="N77" s="35">
        <v>98.0</v>
      </c>
      <c r="O77" s="36"/>
      <c r="P77" s="35">
        <f t="shared" si="4"/>
        <v>750.5</v>
      </c>
      <c r="Q77" s="34" t="s">
        <v>40</v>
      </c>
      <c r="R77" s="36"/>
      <c r="S77" s="34">
        <v>800.0</v>
      </c>
      <c r="T77" s="37">
        <f t="shared" si="1"/>
        <v>0.938125</v>
      </c>
      <c r="U77" s="36"/>
      <c r="V77" s="36"/>
      <c r="W77" s="38"/>
      <c r="X77" s="39"/>
      <c r="Y77" s="39"/>
      <c r="Z77" s="39"/>
      <c r="AA77" s="39"/>
      <c r="AB77" s="39"/>
      <c r="AC77" s="39"/>
      <c r="AD77" s="39"/>
      <c r="AE77" s="39"/>
      <c r="AF77" s="3"/>
      <c r="AG77" s="36"/>
      <c r="AH77" s="36"/>
      <c r="AI77" s="40"/>
      <c r="AJ77" s="40"/>
      <c r="AK77" s="40"/>
      <c r="AL77" s="40"/>
      <c r="AM77" s="40"/>
      <c r="AN77" s="40"/>
      <c r="AO77" s="40"/>
      <c r="AP77" s="40"/>
    </row>
    <row r="78" ht="15.75" customHeight="1">
      <c r="A78" s="41"/>
      <c r="B78" s="41"/>
      <c r="C78" s="41"/>
      <c r="D78" s="42" t="s">
        <v>41</v>
      </c>
      <c r="E78" s="42">
        <v>46.0</v>
      </c>
      <c r="F78" s="42">
        <v>43.0</v>
      </c>
      <c r="G78" s="43">
        <v>97.0</v>
      </c>
      <c r="H78" s="43">
        <v>77.0</v>
      </c>
      <c r="I78" s="43">
        <v>80.0</v>
      </c>
      <c r="J78" s="43">
        <v>96.0</v>
      </c>
      <c r="K78" s="43">
        <v>79.0</v>
      </c>
      <c r="L78" s="43">
        <v>69.5</v>
      </c>
      <c r="M78" s="43">
        <v>87.8</v>
      </c>
      <c r="N78" s="43">
        <v>82.0</v>
      </c>
      <c r="O78" s="41"/>
      <c r="P78" s="43">
        <f t="shared" si="4"/>
        <v>668.3</v>
      </c>
      <c r="Q78" s="42" t="s">
        <v>40</v>
      </c>
      <c r="R78" s="41"/>
      <c r="S78" s="42">
        <v>800.0</v>
      </c>
      <c r="T78" s="44">
        <f t="shared" si="1"/>
        <v>0.835375</v>
      </c>
      <c r="U78" s="41"/>
      <c r="V78" s="41"/>
      <c r="W78" s="45"/>
      <c r="AF78" s="46"/>
      <c r="AG78" s="36"/>
      <c r="AH78" s="36"/>
      <c r="AI78" s="40"/>
      <c r="AJ78" s="40"/>
      <c r="AK78" s="40"/>
      <c r="AL78" s="40"/>
      <c r="AM78" s="40"/>
      <c r="AN78" s="40"/>
      <c r="AO78" s="40"/>
      <c r="AP78" s="40"/>
    </row>
    <row r="79" ht="15.75" customHeight="1">
      <c r="A79" s="36"/>
      <c r="B79" s="36"/>
      <c r="C79" s="36"/>
      <c r="D79" s="34" t="s">
        <v>42</v>
      </c>
      <c r="E79" s="34">
        <v>0.0</v>
      </c>
      <c r="F79" s="34">
        <v>0.0</v>
      </c>
      <c r="G79" s="35">
        <v>0.0</v>
      </c>
      <c r="H79" s="35">
        <v>0.0</v>
      </c>
      <c r="I79" s="35">
        <v>0.0</v>
      </c>
      <c r="J79" s="35">
        <v>0.0</v>
      </c>
      <c r="K79" s="35">
        <v>0.0</v>
      </c>
      <c r="L79" s="35">
        <v>0.0</v>
      </c>
      <c r="M79" s="35">
        <v>0.0</v>
      </c>
      <c r="N79" s="35">
        <v>0.0</v>
      </c>
      <c r="O79" s="36"/>
      <c r="P79" s="35">
        <f t="shared" si="4"/>
        <v>0</v>
      </c>
      <c r="Q79" s="34" t="s">
        <v>40</v>
      </c>
      <c r="R79" s="36"/>
      <c r="S79" s="34">
        <v>800.0</v>
      </c>
      <c r="T79" s="37">
        <f t="shared" si="1"/>
        <v>0</v>
      </c>
      <c r="U79" s="36"/>
      <c r="V79" s="36"/>
      <c r="W79" s="6"/>
      <c r="X79" s="47"/>
      <c r="Y79" s="47"/>
      <c r="Z79" s="47"/>
      <c r="AA79" s="47"/>
      <c r="AB79" s="47"/>
      <c r="AC79" s="47"/>
      <c r="AD79" s="47"/>
      <c r="AE79" s="47"/>
      <c r="AF79" s="7"/>
      <c r="AG79" s="36"/>
      <c r="AH79" s="36"/>
      <c r="AI79" s="40"/>
      <c r="AJ79" s="40"/>
      <c r="AK79" s="40"/>
      <c r="AL79" s="40"/>
      <c r="AM79" s="40"/>
      <c r="AN79" s="40"/>
      <c r="AO79" s="40"/>
      <c r="AP79" s="40"/>
    </row>
    <row r="80" ht="15.75" customHeight="1">
      <c r="A80" s="41"/>
      <c r="B80" s="41"/>
      <c r="C80" s="41"/>
      <c r="D80" s="42" t="s">
        <v>43</v>
      </c>
      <c r="E80" s="42">
        <v>0.0</v>
      </c>
      <c r="F80" s="42">
        <v>0.0</v>
      </c>
      <c r="G80" s="43">
        <v>0.0</v>
      </c>
      <c r="H80" s="43">
        <v>0.0</v>
      </c>
      <c r="I80" s="43">
        <v>0.0</v>
      </c>
      <c r="J80" s="43">
        <v>0.0</v>
      </c>
      <c r="K80" s="43">
        <v>0.0</v>
      </c>
      <c r="L80" s="43">
        <v>0.0</v>
      </c>
      <c r="M80" s="43">
        <v>0.0</v>
      </c>
      <c r="N80" s="43">
        <v>0.0</v>
      </c>
      <c r="O80" s="42">
        <v>0.0</v>
      </c>
      <c r="P80" s="43">
        <f t="shared" si="4"/>
        <v>0</v>
      </c>
      <c r="Q80" s="42" t="s">
        <v>40</v>
      </c>
      <c r="R80" s="42" t="s">
        <v>44</v>
      </c>
      <c r="S80" s="42">
        <v>900.0</v>
      </c>
      <c r="T80" s="44">
        <f t="shared" si="1"/>
        <v>0</v>
      </c>
      <c r="U80" s="42" t="s">
        <v>45</v>
      </c>
      <c r="V80" s="42" t="s">
        <v>46</v>
      </c>
      <c r="W80" s="42" t="s">
        <v>47</v>
      </c>
      <c r="X80" s="42" t="s">
        <v>47</v>
      </c>
      <c r="Y80" s="42" t="s">
        <v>47</v>
      </c>
      <c r="Z80" s="42" t="s">
        <v>47</v>
      </c>
      <c r="AA80" s="42" t="s">
        <v>48</v>
      </c>
      <c r="AB80" s="42" t="s">
        <v>47</v>
      </c>
      <c r="AC80" s="42" t="s">
        <v>47</v>
      </c>
      <c r="AD80" s="42" t="s">
        <v>47</v>
      </c>
      <c r="AE80" s="42" t="s">
        <v>47</v>
      </c>
      <c r="AF80" s="42" t="s">
        <v>49</v>
      </c>
      <c r="AG80" s="36"/>
      <c r="AH80" s="36"/>
      <c r="AI80" s="40"/>
      <c r="AJ80" s="40"/>
      <c r="AK80" s="40"/>
      <c r="AL80" s="40"/>
      <c r="AM80" s="40"/>
      <c r="AN80" s="40"/>
      <c r="AO80" s="40"/>
      <c r="AP80" s="40"/>
    </row>
    <row r="81" ht="15.75" customHeight="1">
      <c r="A81" s="33">
        <v>21457.0</v>
      </c>
      <c r="B81" s="33" t="s">
        <v>86</v>
      </c>
      <c r="C81" s="33" t="s">
        <v>87</v>
      </c>
      <c r="D81" s="34" t="s">
        <v>39</v>
      </c>
      <c r="E81" s="34">
        <v>39.0</v>
      </c>
      <c r="F81" s="34">
        <v>16.0</v>
      </c>
      <c r="G81" s="35" t="s">
        <v>66</v>
      </c>
      <c r="H81" s="35">
        <v>94.0</v>
      </c>
      <c r="I81" s="35">
        <v>98.0</v>
      </c>
      <c r="J81" s="35" t="s">
        <v>66</v>
      </c>
      <c r="K81" s="35" t="s">
        <v>66</v>
      </c>
      <c r="L81" s="35" t="s">
        <v>66</v>
      </c>
      <c r="M81" s="35">
        <v>97.5</v>
      </c>
      <c r="N81" s="35" t="s">
        <v>66</v>
      </c>
      <c r="O81" s="36"/>
      <c r="P81" s="35">
        <f t="shared" si="4"/>
        <v>289.5</v>
      </c>
      <c r="Q81" s="34" t="s">
        <v>88</v>
      </c>
      <c r="R81" s="36"/>
      <c r="S81" s="34">
        <v>800.0</v>
      </c>
      <c r="T81" s="37">
        <f t="shared" si="1"/>
        <v>0.361875</v>
      </c>
      <c r="U81" s="36"/>
      <c r="V81" s="36"/>
      <c r="W81" s="38"/>
      <c r="X81" s="39"/>
      <c r="Y81" s="39"/>
      <c r="Z81" s="39"/>
      <c r="AA81" s="39"/>
      <c r="AB81" s="39"/>
      <c r="AC81" s="39"/>
      <c r="AD81" s="39"/>
      <c r="AE81" s="39"/>
      <c r="AF81" s="3"/>
      <c r="AG81" s="36"/>
      <c r="AH81" s="36"/>
      <c r="AI81" s="40"/>
      <c r="AJ81" s="40"/>
      <c r="AK81" s="40"/>
      <c r="AL81" s="40"/>
      <c r="AM81" s="40"/>
      <c r="AN81" s="40"/>
      <c r="AO81" s="40"/>
      <c r="AP81" s="40"/>
    </row>
    <row r="82" ht="15.75" customHeight="1">
      <c r="A82" s="41"/>
      <c r="B82" s="41"/>
      <c r="C82" s="41"/>
      <c r="D82" s="42" t="s">
        <v>41</v>
      </c>
      <c r="E82" s="42">
        <v>46.0</v>
      </c>
      <c r="F82" s="42">
        <v>28.0</v>
      </c>
      <c r="G82" s="43">
        <v>79.0</v>
      </c>
      <c r="H82" s="43">
        <v>87.0</v>
      </c>
      <c r="I82" s="43">
        <v>67.0</v>
      </c>
      <c r="J82" s="43">
        <v>88.5</v>
      </c>
      <c r="K82" s="43">
        <v>88.5</v>
      </c>
      <c r="L82" s="43">
        <v>83.0</v>
      </c>
      <c r="M82" s="43">
        <v>88.0</v>
      </c>
      <c r="N82" s="43">
        <v>91.75</v>
      </c>
      <c r="O82" s="41"/>
      <c r="P82" s="43">
        <f t="shared" si="4"/>
        <v>672.75</v>
      </c>
      <c r="Q82" s="42" t="s">
        <v>40</v>
      </c>
      <c r="R82" s="41"/>
      <c r="S82" s="42">
        <v>800.0</v>
      </c>
      <c r="T82" s="44">
        <f t="shared" si="1"/>
        <v>0.8409375</v>
      </c>
      <c r="U82" s="41"/>
      <c r="V82" s="41"/>
      <c r="W82" s="45"/>
      <c r="AF82" s="46"/>
      <c r="AG82" s="36"/>
      <c r="AH82" s="36"/>
      <c r="AI82" s="40"/>
      <c r="AJ82" s="40"/>
      <c r="AK82" s="40"/>
      <c r="AL82" s="40"/>
      <c r="AM82" s="40"/>
      <c r="AN82" s="40"/>
      <c r="AO82" s="40"/>
      <c r="AP82" s="40"/>
    </row>
    <row r="83" ht="15.75" customHeight="1">
      <c r="A83" s="36"/>
      <c r="B83" s="36"/>
      <c r="C83" s="36"/>
      <c r="D83" s="34" t="s">
        <v>42</v>
      </c>
      <c r="E83" s="34">
        <v>0.0</v>
      </c>
      <c r="F83" s="34">
        <v>0.0</v>
      </c>
      <c r="G83" s="35">
        <v>0.0</v>
      </c>
      <c r="H83" s="35">
        <v>0.0</v>
      </c>
      <c r="I83" s="35">
        <v>0.0</v>
      </c>
      <c r="J83" s="35">
        <v>0.0</v>
      </c>
      <c r="K83" s="35">
        <v>0.0</v>
      </c>
      <c r="L83" s="35">
        <v>0.0</v>
      </c>
      <c r="M83" s="35">
        <v>0.0</v>
      </c>
      <c r="N83" s="35">
        <v>0.0</v>
      </c>
      <c r="O83" s="36"/>
      <c r="P83" s="35">
        <f t="shared" si="4"/>
        <v>0</v>
      </c>
      <c r="Q83" s="34" t="s">
        <v>40</v>
      </c>
      <c r="R83" s="36"/>
      <c r="S83" s="34">
        <v>800.0</v>
      </c>
      <c r="T83" s="37">
        <f t="shared" si="1"/>
        <v>0</v>
      </c>
      <c r="U83" s="36"/>
      <c r="V83" s="36"/>
      <c r="W83" s="6"/>
      <c r="X83" s="47"/>
      <c r="Y83" s="47"/>
      <c r="Z83" s="47"/>
      <c r="AA83" s="47"/>
      <c r="AB83" s="47"/>
      <c r="AC83" s="47"/>
      <c r="AD83" s="47"/>
      <c r="AE83" s="47"/>
      <c r="AF83" s="7"/>
      <c r="AG83" s="36"/>
      <c r="AH83" s="36"/>
      <c r="AI83" s="40"/>
      <c r="AJ83" s="40"/>
      <c r="AK83" s="40"/>
      <c r="AL83" s="40"/>
      <c r="AM83" s="40"/>
      <c r="AN83" s="40"/>
      <c r="AO83" s="40"/>
      <c r="AP83" s="40"/>
    </row>
    <row r="84" ht="15.75" customHeight="1">
      <c r="A84" s="41"/>
      <c r="B84" s="41"/>
      <c r="C84" s="41"/>
      <c r="D84" s="42" t="s">
        <v>43</v>
      </c>
      <c r="E84" s="42">
        <v>0.0</v>
      </c>
      <c r="F84" s="42">
        <v>0.0</v>
      </c>
      <c r="G84" s="43">
        <v>0.0</v>
      </c>
      <c r="H84" s="43">
        <v>0.0</v>
      </c>
      <c r="I84" s="43">
        <v>0.0</v>
      </c>
      <c r="J84" s="43">
        <v>0.0</v>
      </c>
      <c r="K84" s="43">
        <v>0.0</v>
      </c>
      <c r="L84" s="43">
        <v>0.0</v>
      </c>
      <c r="M84" s="43">
        <v>0.0</v>
      </c>
      <c r="N84" s="43">
        <v>0.0</v>
      </c>
      <c r="O84" s="42">
        <v>0.0</v>
      </c>
      <c r="P84" s="43">
        <f t="shared" si="4"/>
        <v>0</v>
      </c>
      <c r="Q84" s="42" t="s">
        <v>40</v>
      </c>
      <c r="R84" s="42" t="s">
        <v>44</v>
      </c>
      <c r="S84" s="42">
        <v>900.0</v>
      </c>
      <c r="T84" s="44">
        <f t="shared" si="1"/>
        <v>0</v>
      </c>
      <c r="U84" s="42" t="s">
        <v>45</v>
      </c>
      <c r="V84" s="42" t="s">
        <v>46</v>
      </c>
      <c r="W84" s="42" t="s">
        <v>47</v>
      </c>
      <c r="X84" s="42" t="s">
        <v>47</v>
      </c>
      <c r="Y84" s="42" t="s">
        <v>47</v>
      </c>
      <c r="Z84" s="42" t="s">
        <v>47</v>
      </c>
      <c r="AA84" s="42" t="s">
        <v>48</v>
      </c>
      <c r="AB84" s="42" t="s">
        <v>47</v>
      </c>
      <c r="AC84" s="42" t="s">
        <v>47</v>
      </c>
      <c r="AD84" s="42" t="s">
        <v>47</v>
      </c>
      <c r="AE84" s="42" t="s">
        <v>47</v>
      </c>
      <c r="AF84" s="42" t="s">
        <v>49</v>
      </c>
      <c r="AG84" s="36"/>
      <c r="AH84" s="36"/>
      <c r="AI84" s="40"/>
      <c r="AJ84" s="40"/>
      <c r="AK84" s="40"/>
      <c r="AL84" s="40"/>
      <c r="AM84" s="40"/>
      <c r="AN84" s="40"/>
      <c r="AO84" s="40"/>
      <c r="AP84" s="40"/>
    </row>
    <row r="85" ht="15.75" customHeight="1">
      <c r="A85" s="33">
        <v>21459.0</v>
      </c>
      <c r="B85" s="33" t="s">
        <v>89</v>
      </c>
      <c r="C85" s="33" t="s">
        <v>90</v>
      </c>
      <c r="D85" s="34" t="s">
        <v>39</v>
      </c>
      <c r="E85" s="34">
        <v>39.0</v>
      </c>
      <c r="F85" s="34">
        <v>35.0</v>
      </c>
      <c r="G85" s="35">
        <v>99.0</v>
      </c>
      <c r="H85" s="35">
        <v>89.5</v>
      </c>
      <c r="I85" s="35">
        <v>99.0</v>
      </c>
      <c r="J85" s="35">
        <v>99.0</v>
      </c>
      <c r="K85" s="35">
        <v>94.0</v>
      </c>
      <c r="L85" s="35">
        <v>100.0</v>
      </c>
      <c r="M85" s="35">
        <v>100.0</v>
      </c>
      <c r="N85" s="35">
        <v>100.0</v>
      </c>
      <c r="O85" s="36"/>
      <c r="P85" s="35">
        <f t="shared" si="4"/>
        <v>780.5</v>
      </c>
      <c r="Q85" s="34" t="s">
        <v>40</v>
      </c>
      <c r="R85" s="36"/>
      <c r="S85" s="34">
        <v>800.0</v>
      </c>
      <c r="T85" s="37">
        <f t="shared" si="1"/>
        <v>0.975625</v>
      </c>
      <c r="U85" s="36"/>
      <c r="V85" s="36"/>
      <c r="W85" s="38"/>
      <c r="X85" s="39"/>
      <c r="Y85" s="39"/>
      <c r="Z85" s="39"/>
      <c r="AA85" s="39"/>
      <c r="AB85" s="39"/>
      <c r="AC85" s="39"/>
      <c r="AD85" s="39"/>
      <c r="AE85" s="39"/>
      <c r="AF85" s="3"/>
      <c r="AG85" s="36"/>
      <c r="AH85" s="36"/>
      <c r="AI85" s="40"/>
      <c r="AJ85" s="40"/>
      <c r="AK85" s="40"/>
      <c r="AL85" s="40"/>
      <c r="AM85" s="40"/>
      <c r="AN85" s="40"/>
      <c r="AO85" s="40"/>
      <c r="AP85" s="40"/>
    </row>
    <row r="86" ht="15.75" customHeight="1">
      <c r="A86" s="41"/>
      <c r="B86" s="41"/>
      <c r="C86" s="41"/>
      <c r="D86" s="42" t="s">
        <v>41</v>
      </c>
      <c r="E86" s="42">
        <v>46.0</v>
      </c>
      <c r="F86" s="42">
        <v>43.0</v>
      </c>
      <c r="G86" s="43">
        <v>96.0</v>
      </c>
      <c r="H86" s="43">
        <v>92.5</v>
      </c>
      <c r="I86" s="43">
        <v>84.0</v>
      </c>
      <c r="J86" s="43">
        <v>92.0</v>
      </c>
      <c r="K86" s="43">
        <v>98.5</v>
      </c>
      <c r="L86" s="43">
        <v>91.0</v>
      </c>
      <c r="M86" s="43">
        <v>95.5</v>
      </c>
      <c r="N86" s="43">
        <v>95.5</v>
      </c>
      <c r="O86" s="41"/>
      <c r="P86" s="43">
        <f t="shared" si="4"/>
        <v>745</v>
      </c>
      <c r="Q86" s="42" t="s">
        <v>40</v>
      </c>
      <c r="R86" s="41"/>
      <c r="S86" s="42">
        <v>800.0</v>
      </c>
      <c r="T86" s="44">
        <f t="shared" si="1"/>
        <v>0.93125</v>
      </c>
      <c r="U86" s="41"/>
      <c r="V86" s="41"/>
      <c r="W86" s="45"/>
      <c r="AF86" s="46"/>
      <c r="AG86" s="36"/>
      <c r="AH86" s="36"/>
      <c r="AI86" s="40"/>
      <c r="AJ86" s="40"/>
      <c r="AK86" s="40"/>
      <c r="AL86" s="40"/>
      <c r="AM86" s="40"/>
      <c r="AN86" s="40"/>
      <c r="AO86" s="40"/>
      <c r="AP86" s="40"/>
    </row>
    <row r="87" ht="15.75" customHeight="1">
      <c r="A87" s="36"/>
      <c r="B87" s="36"/>
      <c r="C87" s="36"/>
      <c r="D87" s="34" t="s">
        <v>42</v>
      </c>
      <c r="E87" s="34">
        <v>0.0</v>
      </c>
      <c r="F87" s="34">
        <v>0.0</v>
      </c>
      <c r="G87" s="35">
        <v>0.0</v>
      </c>
      <c r="H87" s="35">
        <v>0.0</v>
      </c>
      <c r="I87" s="35">
        <v>0.0</v>
      </c>
      <c r="J87" s="35">
        <v>0.0</v>
      </c>
      <c r="K87" s="35">
        <v>0.0</v>
      </c>
      <c r="L87" s="35">
        <v>0.0</v>
      </c>
      <c r="M87" s="35">
        <v>0.0</v>
      </c>
      <c r="N87" s="35">
        <v>0.0</v>
      </c>
      <c r="O87" s="36"/>
      <c r="P87" s="35">
        <f t="shared" si="4"/>
        <v>0</v>
      </c>
      <c r="Q87" s="34" t="s">
        <v>40</v>
      </c>
      <c r="R87" s="36"/>
      <c r="S87" s="34">
        <v>800.0</v>
      </c>
      <c r="T87" s="37">
        <f t="shared" si="1"/>
        <v>0</v>
      </c>
      <c r="U87" s="36"/>
      <c r="V87" s="36"/>
      <c r="W87" s="6"/>
      <c r="X87" s="47"/>
      <c r="Y87" s="47"/>
      <c r="Z87" s="47"/>
      <c r="AA87" s="47"/>
      <c r="AB87" s="47"/>
      <c r="AC87" s="47"/>
      <c r="AD87" s="47"/>
      <c r="AE87" s="47"/>
      <c r="AF87" s="7"/>
      <c r="AG87" s="36"/>
      <c r="AH87" s="36"/>
      <c r="AI87" s="40"/>
      <c r="AJ87" s="40"/>
      <c r="AK87" s="40"/>
      <c r="AL87" s="40"/>
      <c r="AM87" s="40"/>
      <c r="AN87" s="40"/>
      <c r="AO87" s="40"/>
      <c r="AP87" s="40"/>
    </row>
    <row r="88" ht="15.75" customHeight="1">
      <c r="A88" s="41"/>
      <c r="B88" s="41"/>
      <c r="C88" s="41"/>
      <c r="D88" s="42" t="s">
        <v>43</v>
      </c>
      <c r="E88" s="42">
        <v>0.0</v>
      </c>
      <c r="F88" s="42">
        <v>0.0</v>
      </c>
      <c r="G88" s="43">
        <v>0.0</v>
      </c>
      <c r="H88" s="43">
        <v>0.0</v>
      </c>
      <c r="I88" s="43">
        <v>0.0</v>
      </c>
      <c r="J88" s="43">
        <v>0.0</v>
      </c>
      <c r="K88" s="43">
        <v>0.0</v>
      </c>
      <c r="L88" s="43">
        <v>0.0</v>
      </c>
      <c r="M88" s="43">
        <v>0.0</v>
      </c>
      <c r="N88" s="43">
        <v>0.0</v>
      </c>
      <c r="O88" s="42">
        <v>0.0</v>
      </c>
      <c r="P88" s="43">
        <f t="shared" si="4"/>
        <v>0</v>
      </c>
      <c r="Q88" s="42" t="s">
        <v>40</v>
      </c>
      <c r="R88" s="42" t="s">
        <v>44</v>
      </c>
      <c r="S88" s="42">
        <v>900.0</v>
      </c>
      <c r="T88" s="44">
        <f t="shared" si="1"/>
        <v>0</v>
      </c>
      <c r="U88" s="42" t="s">
        <v>45</v>
      </c>
      <c r="V88" s="42" t="s">
        <v>46</v>
      </c>
      <c r="W88" s="42" t="s">
        <v>47</v>
      </c>
      <c r="X88" s="42" t="s">
        <v>47</v>
      </c>
      <c r="Y88" s="42" t="s">
        <v>47</v>
      </c>
      <c r="Z88" s="42" t="s">
        <v>47</v>
      </c>
      <c r="AA88" s="42" t="s">
        <v>48</v>
      </c>
      <c r="AB88" s="42" t="s">
        <v>47</v>
      </c>
      <c r="AC88" s="42" t="s">
        <v>47</v>
      </c>
      <c r="AD88" s="42" t="s">
        <v>47</v>
      </c>
      <c r="AE88" s="42" t="s">
        <v>47</v>
      </c>
      <c r="AF88" s="42" t="s">
        <v>49</v>
      </c>
      <c r="AG88" s="36"/>
      <c r="AH88" s="36"/>
      <c r="AI88" s="40"/>
      <c r="AJ88" s="40"/>
      <c r="AK88" s="40"/>
      <c r="AL88" s="40"/>
      <c r="AM88" s="40"/>
      <c r="AN88" s="40"/>
      <c r="AO88" s="40"/>
      <c r="AP88" s="40"/>
    </row>
    <row r="89" ht="15.75" customHeight="1">
      <c r="A89" s="33">
        <v>21473.0</v>
      </c>
      <c r="B89" s="33" t="s">
        <v>91</v>
      </c>
      <c r="C89" s="33" t="s">
        <v>92</v>
      </c>
      <c r="D89" s="34" t="s">
        <v>39</v>
      </c>
      <c r="E89" s="34">
        <v>39.0</v>
      </c>
      <c r="F89" s="34">
        <v>35.0</v>
      </c>
      <c r="G89" s="35">
        <v>91.5</v>
      </c>
      <c r="H89" s="35">
        <v>86.0</v>
      </c>
      <c r="I89" s="35">
        <v>86.5</v>
      </c>
      <c r="J89" s="35">
        <v>85.0</v>
      </c>
      <c r="K89" s="35">
        <v>92.5</v>
      </c>
      <c r="L89" s="35">
        <v>97.0</v>
      </c>
      <c r="M89" s="35">
        <v>75.0</v>
      </c>
      <c r="N89" s="35">
        <v>89.0</v>
      </c>
      <c r="O89" s="36"/>
      <c r="P89" s="35">
        <f t="shared" si="4"/>
        <v>702.5</v>
      </c>
      <c r="Q89" s="34" t="s">
        <v>40</v>
      </c>
      <c r="R89" s="36"/>
      <c r="S89" s="34">
        <v>800.0</v>
      </c>
      <c r="T89" s="37">
        <f t="shared" si="1"/>
        <v>0.878125</v>
      </c>
      <c r="U89" s="36"/>
      <c r="V89" s="36"/>
      <c r="W89" s="38"/>
      <c r="X89" s="39"/>
      <c r="Y89" s="39"/>
      <c r="Z89" s="39"/>
      <c r="AA89" s="39"/>
      <c r="AB89" s="39"/>
      <c r="AC89" s="39"/>
      <c r="AD89" s="39"/>
      <c r="AE89" s="39"/>
      <c r="AF89" s="3"/>
      <c r="AG89" s="36"/>
      <c r="AH89" s="36"/>
      <c r="AI89" s="40"/>
      <c r="AJ89" s="40"/>
      <c r="AK89" s="40"/>
      <c r="AL89" s="40"/>
      <c r="AM89" s="40"/>
      <c r="AN89" s="40"/>
      <c r="AO89" s="40"/>
      <c r="AP89" s="40"/>
    </row>
    <row r="90" ht="15.75" customHeight="1">
      <c r="A90" s="48"/>
      <c r="B90" s="39"/>
      <c r="C90" s="3"/>
      <c r="D90" s="42" t="s">
        <v>41</v>
      </c>
      <c r="E90" s="42">
        <v>46.0</v>
      </c>
      <c r="F90" s="42">
        <v>40.0</v>
      </c>
      <c r="G90" s="43">
        <v>82.5</v>
      </c>
      <c r="H90" s="43">
        <v>89.0</v>
      </c>
      <c r="I90" s="43">
        <v>76.5</v>
      </c>
      <c r="J90" s="43">
        <v>74.5</v>
      </c>
      <c r="K90" s="43">
        <v>86.0</v>
      </c>
      <c r="L90" s="43">
        <v>70.0</v>
      </c>
      <c r="M90" s="43">
        <v>88.0</v>
      </c>
      <c r="N90" s="43">
        <v>90.25</v>
      </c>
      <c r="O90" s="41"/>
      <c r="P90" s="43">
        <f t="shared" si="4"/>
        <v>656.75</v>
      </c>
      <c r="Q90" s="42" t="s">
        <v>40</v>
      </c>
      <c r="R90" s="41"/>
      <c r="S90" s="42">
        <v>800.0</v>
      </c>
      <c r="T90" s="44">
        <f t="shared" si="1"/>
        <v>0.8209375</v>
      </c>
      <c r="U90" s="41"/>
      <c r="V90" s="41"/>
      <c r="W90" s="45"/>
      <c r="AF90" s="46"/>
      <c r="AG90" s="36"/>
      <c r="AH90" s="36"/>
      <c r="AI90" s="40"/>
      <c r="AJ90" s="40"/>
      <c r="AK90" s="40"/>
      <c r="AL90" s="40"/>
      <c r="AM90" s="40"/>
      <c r="AN90" s="40"/>
      <c r="AO90" s="40"/>
      <c r="AP90" s="40"/>
    </row>
    <row r="91" ht="15.75" customHeight="1">
      <c r="A91" s="45"/>
      <c r="C91" s="46"/>
      <c r="D91" s="34" t="s">
        <v>42</v>
      </c>
      <c r="E91" s="34">
        <v>0.0</v>
      </c>
      <c r="F91" s="34">
        <v>0.0</v>
      </c>
      <c r="G91" s="35">
        <v>0.0</v>
      </c>
      <c r="H91" s="35">
        <v>0.0</v>
      </c>
      <c r="I91" s="35">
        <v>0.0</v>
      </c>
      <c r="J91" s="35">
        <v>0.0</v>
      </c>
      <c r="K91" s="35">
        <v>0.0</v>
      </c>
      <c r="L91" s="35">
        <v>0.0</v>
      </c>
      <c r="M91" s="35">
        <v>0.0</v>
      </c>
      <c r="N91" s="35">
        <v>0.0</v>
      </c>
      <c r="O91" s="36"/>
      <c r="P91" s="35">
        <f t="shared" si="4"/>
        <v>0</v>
      </c>
      <c r="Q91" s="34" t="s">
        <v>40</v>
      </c>
      <c r="R91" s="36"/>
      <c r="S91" s="34">
        <v>800.0</v>
      </c>
      <c r="T91" s="37">
        <f t="shared" si="1"/>
        <v>0</v>
      </c>
      <c r="U91" s="36"/>
      <c r="V91" s="36"/>
      <c r="W91" s="6"/>
      <c r="X91" s="47"/>
      <c r="Y91" s="47"/>
      <c r="Z91" s="47"/>
      <c r="AA91" s="47"/>
      <c r="AB91" s="47"/>
      <c r="AC91" s="47"/>
      <c r="AD91" s="47"/>
      <c r="AE91" s="47"/>
      <c r="AF91" s="7"/>
      <c r="AG91" s="36"/>
      <c r="AH91" s="36"/>
      <c r="AI91" s="40"/>
      <c r="AJ91" s="40"/>
      <c r="AK91" s="40"/>
      <c r="AL91" s="40"/>
      <c r="AM91" s="40"/>
      <c r="AN91" s="40"/>
      <c r="AO91" s="40"/>
      <c r="AP91" s="40"/>
    </row>
    <row r="92" ht="15.75" customHeight="1">
      <c r="A92" s="6"/>
      <c r="B92" s="47"/>
      <c r="C92" s="7"/>
      <c r="D92" s="42" t="s">
        <v>43</v>
      </c>
      <c r="E92" s="42">
        <v>0.0</v>
      </c>
      <c r="F92" s="42">
        <v>0.0</v>
      </c>
      <c r="G92" s="43">
        <v>0.0</v>
      </c>
      <c r="H92" s="43">
        <v>0.0</v>
      </c>
      <c r="I92" s="43">
        <v>0.0</v>
      </c>
      <c r="J92" s="43">
        <v>0.0</v>
      </c>
      <c r="K92" s="43">
        <v>0.0</v>
      </c>
      <c r="L92" s="43">
        <v>0.0</v>
      </c>
      <c r="M92" s="43">
        <v>0.0</v>
      </c>
      <c r="N92" s="43">
        <v>0.0</v>
      </c>
      <c r="O92" s="42">
        <v>0.0</v>
      </c>
      <c r="P92" s="43">
        <f t="shared" si="4"/>
        <v>0</v>
      </c>
      <c r="Q92" s="42" t="s">
        <v>40</v>
      </c>
      <c r="R92" s="42" t="s">
        <v>44</v>
      </c>
      <c r="S92" s="42">
        <v>900.0</v>
      </c>
      <c r="T92" s="44">
        <f t="shared" si="1"/>
        <v>0</v>
      </c>
      <c r="U92" s="42" t="s">
        <v>45</v>
      </c>
      <c r="V92" s="42" t="s">
        <v>46</v>
      </c>
      <c r="W92" s="42" t="s">
        <v>47</v>
      </c>
      <c r="X92" s="42" t="s">
        <v>47</v>
      </c>
      <c r="Y92" s="42" t="s">
        <v>47</v>
      </c>
      <c r="Z92" s="42" t="s">
        <v>47</v>
      </c>
      <c r="AA92" s="42" t="s">
        <v>48</v>
      </c>
      <c r="AB92" s="42" t="s">
        <v>47</v>
      </c>
      <c r="AC92" s="42" t="s">
        <v>47</v>
      </c>
      <c r="AD92" s="42" t="s">
        <v>47</v>
      </c>
      <c r="AE92" s="42" t="s">
        <v>47</v>
      </c>
      <c r="AF92" s="42" t="s">
        <v>49</v>
      </c>
      <c r="AG92" s="36"/>
      <c r="AH92" s="36"/>
      <c r="AI92" s="40"/>
      <c r="AJ92" s="40"/>
      <c r="AK92" s="40"/>
      <c r="AL92" s="40"/>
      <c r="AM92" s="40"/>
      <c r="AN92" s="40"/>
      <c r="AO92" s="40"/>
      <c r="AP92" s="40"/>
    </row>
    <row r="93" ht="15.75" customHeight="1">
      <c r="A93" s="33">
        <v>21549.0</v>
      </c>
      <c r="B93" s="33" t="s">
        <v>93</v>
      </c>
      <c r="C93" s="33" t="s">
        <v>94</v>
      </c>
      <c r="D93" s="34" t="s">
        <v>39</v>
      </c>
      <c r="E93" s="34">
        <v>39.0</v>
      </c>
      <c r="F93" s="34">
        <v>26.0</v>
      </c>
      <c r="G93" s="35">
        <v>98.5</v>
      </c>
      <c r="H93" s="35">
        <v>93.5</v>
      </c>
      <c r="I93" s="35">
        <v>92.5</v>
      </c>
      <c r="J93" s="35">
        <v>98.0</v>
      </c>
      <c r="K93" s="35">
        <v>98.0</v>
      </c>
      <c r="L93" s="35">
        <v>99.0</v>
      </c>
      <c r="M93" s="35">
        <v>94.0</v>
      </c>
      <c r="N93" s="35">
        <v>96.5</v>
      </c>
      <c r="O93" s="36"/>
      <c r="P93" s="35">
        <f t="shared" si="4"/>
        <v>770</v>
      </c>
      <c r="Q93" s="34" t="s">
        <v>40</v>
      </c>
      <c r="R93" s="36"/>
      <c r="S93" s="34">
        <v>800.0</v>
      </c>
      <c r="T93" s="37">
        <f t="shared" si="1"/>
        <v>0.9625</v>
      </c>
      <c r="U93" s="36"/>
      <c r="V93" s="36"/>
      <c r="W93" s="38"/>
      <c r="X93" s="39"/>
      <c r="Y93" s="39"/>
      <c r="Z93" s="39"/>
      <c r="AA93" s="39"/>
      <c r="AB93" s="39"/>
      <c r="AC93" s="39"/>
      <c r="AD93" s="39"/>
      <c r="AE93" s="39"/>
      <c r="AF93" s="3"/>
      <c r="AG93" s="36"/>
      <c r="AH93" s="36"/>
      <c r="AI93" s="40"/>
      <c r="AJ93" s="40"/>
      <c r="AK93" s="40"/>
      <c r="AL93" s="40"/>
      <c r="AM93" s="40"/>
      <c r="AN93" s="40"/>
      <c r="AO93" s="40"/>
      <c r="AP93" s="40"/>
    </row>
    <row r="94" ht="15.75" customHeight="1">
      <c r="A94" s="48"/>
      <c r="B94" s="39"/>
      <c r="C94" s="3"/>
      <c r="D94" s="42" t="s">
        <v>41</v>
      </c>
      <c r="E94" s="42">
        <v>46.0</v>
      </c>
      <c r="F94" s="42">
        <v>32.0</v>
      </c>
      <c r="G94" s="43">
        <v>85.0</v>
      </c>
      <c r="H94" s="43">
        <v>89.5</v>
      </c>
      <c r="I94" s="43">
        <v>81.0</v>
      </c>
      <c r="J94" s="43">
        <v>88.5</v>
      </c>
      <c r="K94" s="43">
        <v>86.5</v>
      </c>
      <c r="L94" s="43">
        <v>82.0</v>
      </c>
      <c r="M94" s="43" t="s">
        <v>66</v>
      </c>
      <c r="N94" s="43">
        <v>96.5</v>
      </c>
      <c r="O94" s="41"/>
      <c r="P94" s="43">
        <f t="shared" si="4"/>
        <v>609</v>
      </c>
      <c r="Q94" s="42" t="s">
        <v>88</v>
      </c>
      <c r="R94" s="41"/>
      <c r="S94" s="42">
        <v>800.0</v>
      </c>
      <c r="T94" s="44">
        <f t="shared" si="1"/>
        <v>0.76125</v>
      </c>
      <c r="U94" s="41"/>
      <c r="V94" s="41"/>
      <c r="W94" s="45"/>
      <c r="AF94" s="46"/>
      <c r="AG94" s="36"/>
      <c r="AH94" s="36"/>
      <c r="AI94" s="40"/>
      <c r="AJ94" s="40"/>
      <c r="AK94" s="40"/>
      <c r="AL94" s="40"/>
      <c r="AM94" s="40"/>
      <c r="AN94" s="40"/>
      <c r="AO94" s="40"/>
      <c r="AP94" s="40"/>
    </row>
    <row r="95" ht="15.75" customHeight="1">
      <c r="A95" s="45"/>
      <c r="C95" s="46"/>
      <c r="D95" s="34" t="s">
        <v>42</v>
      </c>
      <c r="E95" s="34">
        <v>0.0</v>
      </c>
      <c r="F95" s="34">
        <v>0.0</v>
      </c>
      <c r="G95" s="35">
        <v>0.0</v>
      </c>
      <c r="H95" s="35">
        <v>0.0</v>
      </c>
      <c r="I95" s="35">
        <v>0.0</v>
      </c>
      <c r="J95" s="35">
        <v>0.0</v>
      </c>
      <c r="K95" s="35">
        <v>0.0</v>
      </c>
      <c r="L95" s="35">
        <v>0.0</v>
      </c>
      <c r="M95" s="35">
        <v>0.0</v>
      </c>
      <c r="N95" s="35">
        <v>0.0</v>
      </c>
      <c r="O95" s="36"/>
      <c r="P95" s="35">
        <f t="shared" si="4"/>
        <v>0</v>
      </c>
      <c r="Q95" s="34" t="s">
        <v>40</v>
      </c>
      <c r="R95" s="36"/>
      <c r="S95" s="34">
        <v>800.0</v>
      </c>
      <c r="T95" s="37">
        <f t="shared" si="1"/>
        <v>0</v>
      </c>
      <c r="U95" s="36"/>
      <c r="V95" s="36"/>
      <c r="W95" s="6"/>
      <c r="X95" s="47"/>
      <c r="Y95" s="47"/>
      <c r="Z95" s="47"/>
      <c r="AA95" s="47"/>
      <c r="AB95" s="47"/>
      <c r="AC95" s="47"/>
      <c r="AD95" s="47"/>
      <c r="AE95" s="47"/>
      <c r="AF95" s="7"/>
      <c r="AG95" s="36"/>
      <c r="AH95" s="36"/>
      <c r="AI95" s="40"/>
      <c r="AJ95" s="40"/>
      <c r="AK95" s="40"/>
      <c r="AL95" s="40"/>
      <c r="AM95" s="40"/>
      <c r="AN95" s="40"/>
      <c r="AO95" s="40"/>
      <c r="AP95" s="40"/>
    </row>
    <row r="96" ht="15.75" customHeight="1">
      <c r="A96" s="6"/>
      <c r="B96" s="47"/>
      <c r="C96" s="7"/>
      <c r="D96" s="42" t="s">
        <v>43</v>
      </c>
      <c r="E96" s="42">
        <v>0.0</v>
      </c>
      <c r="F96" s="42">
        <v>0.0</v>
      </c>
      <c r="G96" s="43">
        <v>0.0</v>
      </c>
      <c r="H96" s="43">
        <v>0.0</v>
      </c>
      <c r="I96" s="43">
        <v>0.0</v>
      </c>
      <c r="J96" s="43">
        <v>0.0</v>
      </c>
      <c r="K96" s="43">
        <v>0.0</v>
      </c>
      <c r="L96" s="43">
        <v>0.0</v>
      </c>
      <c r="M96" s="43">
        <v>0.0</v>
      </c>
      <c r="N96" s="43">
        <v>0.0</v>
      </c>
      <c r="O96" s="42">
        <v>0.0</v>
      </c>
      <c r="P96" s="43">
        <f t="shared" si="4"/>
        <v>0</v>
      </c>
      <c r="Q96" s="42" t="s">
        <v>40</v>
      </c>
      <c r="R96" s="42" t="s">
        <v>44</v>
      </c>
      <c r="S96" s="42">
        <v>900.0</v>
      </c>
      <c r="T96" s="44">
        <f t="shared" si="1"/>
        <v>0</v>
      </c>
      <c r="U96" s="42" t="s">
        <v>45</v>
      </c>
      <c r="V96" s="42" t="s">
        <v>46</v>
      </c>
      <c r="W96" s="42" t="s">
        <v>47</v>
      </c>
      <c r="X96" s="42" t="s">
        <v>47</v>
      </c>
      <c r="Y96" s="42" t="s">
        <v>47</v>
      </c>
      <c r="Z96" s="42" t="s">
        <v>47</v>
      </c>
      <c r="AA96" s="42" t="s">
        <v>48</v>
      </c>
      <c r="AB96" s="42" t="s">
        <v>47</v>
      </c>
      <c r="AC96" s="42" t="s">
        <v>47</v>
      </c>
      <c r="AD96" s="42" t="s">
        <v>47</v>
      </c>
      <c r="AE96" s="42" t="s">
        <v>47</v>
      </c>
      <c r="AF96" s="42" t="s">
        <v>49</v>
      </c>
      <c r="AG96" s="36"/>
      <c r="AH96" s="36"/>
      <c r="AI96" s="40"/>
      <c r="AJ96" s="40"/>
      <c r="AK96" s="40"/>
      <c r="AL96" s="40"/>
      <c r="AM96" s="40"/>
      <c r="AN96" s="40"/>
      <c r="AO96" s="40"/>
      <c r="AP96" s="40"/>
    </row>
    <row r="97" ht="15.75" customHeight="1">
      <c r="A97" s="33">
        <v>21582.0</v>
      </c>
      <c r="B97" s="33" t="s">
        <v>95</v>
      </c>
      <c r="C97" s="33" t="s">
        <v>96</v>
      </c>
      <c r="D97" s="34" t="s">
        <v>39</v>
      </c>
      <c r="E97" s="34">
        <v>39.0</v>
      </c>
      <c r="F97" s="34">
        <v>31.0</v>
      </c>
      <c r="G97" s="35">
        <v>92.0</v>
      </c>
      <c r="H97" s="35">
        <v>74.5</v>
      </c>
      <c r="I97" s="35">
        <v>64.5</v>
      </c>
      <c r="J97" s="35">
        <v>87.5</v>
      </c>
      <c r="K97" s="35">
        <v>80.0</v>
      </c>
      <c r="L97" s="35">
        <v>95.0</v>
      </c>
      <c r="M97" s="35">
        <v>88.5</v>
      </c>
      <c r="N97" s="35">
        <v>93.0</v>
      </c>
      <c r="O97" s="36"/>
      <c r="P97" s="35">
        <f t="shared" si="4"/>
        <v>675</v>
      </c>
      <c r="Q97" s="34" t="s">
        <v>40</v>
      </c>
      <c r="R97" s="36"/>
      <c r="S97" s="34">
        <v>800.0</v>
      </c>
      <c r="T97" s="37">
        <f t="shared" si="1"/>
        <v>0.84375</v>
      </c>
      <c r="U97" s="36"/>
      <c r="V97" s="36"/>
      <c r="W97" s="38"/>
      <c r="X97" s="39"/>
      <c r="Y97" s="39"/>
      <c r="Z97" s="39"/>
      <c r="AA97" s="39"/>
      <c r="AB97" s="39"/>
      <c r="AC97" s="39"/>
      <c r="AD97" s="39"/>
      <c r="AE97" s="39"/>
      <c r="AF97" s="3"/>
      <c r="AG97" s="36"/>
      <c r="AH97" s="36"/>
      <c r="AI97" s="40"/>
      <c r="AJ97" s="40"/>
      <c r="AK97" s="40"/>
      <c r="AL97" s="40"/>
      <c r="AM97" s="40"/>
      <c r="AN97" s="40"/>
      <c r="AO97" s="40"/>
      <c r="AP97" s="40"/>
    </row>
    <row r="98" ht="15.75" customHeight="1">
      <c r="A98" s="48"/>
      <c r="B98" s="39"/>
      <c r="C98" s="3"/>
      <c r="D98" s="42" t="s">
        <v>41</v>
      </c>
      <c r="E98" s="42">
        <v>46.0</v>
      </c>
      <c r="F98" s="42">
        <v>40.0</v>
      </c>
      <c r="G98" s="43">
        <v>92.0</v>
      </c>
      <c r="H98" s="43">
        <v>61.5</v>
      </c>
      <c r="I98" s="43">
        <v>78.5</v>
      </c>
      <c r="J98" s="43">
        <v>75.0</v>
      </c>
      <c r="K98" s="43">
        <v>84.5</v>
      </c>
      <c r="L98" s="43">
        <v>76.5</v>
      </c>
      <c r="M98" s="43">
        <v>69.0</v>
      </c>
      <c r="N98" s="43">
        <v>65.25</v>
      </c>
      <c r="O98" s="41"/>
      <c r="P98" s="43">
        <f t="shared" si="4"/>
        <v>602.25</v>
      </c>
      <c r="Q98" s="42" t="s">
        <v>40</v>
      </c>
      <c r="R98" s="41"/>
      <c r="S98" s="42">
        <v>800.0</v>
      </c>
      <c r="T98" s="44">
        <f t="shared" si="1"/>
        <v>0.7528125</v>
      </c>
      <c r="U98" s="41"/>
      <c r="V98" s="41"/>
      <c r="W98" s="45"/>
      <c r="AF98" s="46"/>
      <c r="AG98" s="36"/>
      <c r="AH98" s="36"/>
      <c r="AI98" s="40"/>
      <c r="AJ98" s="40"/>
      <c r="AK98" s="40"/>
      <c r="AL98" s="40"/>
      <c r="AM98" s="40"/>
      <c r="AN98" s="40"/>
      <c r="AO98" s="40"/>
      <c r="AP98" s="40"/>
    </row>
    <row r="99" ht="15.75" customHeight="1">
      <c r="A99" s="45"/>
      <c r="C99" s="46"/>
      <c r="D99" s="34" t="s">
        <v>42</v>
      </c>
      <c r="E99" s="34">
        <v>0.0</v>
      </c>
      <c r="F99" s="34">
        <v>0.0</v>
      </c>
      <c r="G99" s="35">
        <v>0.0</v>
      </c>
      <c r="H99" s="35">
        <v>0.0</v>
      </c>
      <c r="I99" s="35">
        <v>0.0</v>
      </c>
      <c r="J99" s="35">
        <v>0.0</v>
      </c>
      <c r="K99" s="35">
        <v>0.0</v>
      </c>
      <c r="L99" s="35">
        <v>0.0</v>
      </c>
      <c r="M99" s="35">
        <v>0.0</v>
      </c>
      <c r="N99" s="35">
        <v>0.0</v>
      </c>
      <c r="O99" s="36"/>
      <c r="P99" s="35">
        <f t="shared" si="4"/>
        <v>0</v>
      </c>
      <c r="Q99" s="34" t="s">
        <v>40</v>
      </c>
      <c r="R99" s="36"/>
      <c r="S99" s="34">
        <v>800.0</v>
      </c>
      <c r="T99" s="37">
        <f t="shared" si="1"/>
        <v>0</v>
      </c>
      <c r="U99" s="36"/>
      <c r="V99" s="36"/>
      <c r="W99" s="6"/>
      <c r="X99" s="47"/>
      <c r="Y99" s="47"/>
      <c r="Z99" s="47"/>
      <c r="AA99" s="47"/>
      <c r="AB99" s="47"/>
      <c r="AC99" s="47"/>
      <c r="AD99" s="47"/>
      <c r="AE99" s="47"/>
      <c r="AF99" s="7"/>
      <c r="AG99" s="36"/>
      <c r="AH99" s="36"/>
      <c r="AI99" s="40"/>
      <c r="AJ99" s="40"/>
      <c r="AK99" s="40"/>
      <c r="AL99" s="40"/>
      <c r="AM99" s="40"/>
      <c r="AN99" s="40"/>
      <c r="AO99" s="40"/>
      <c r="AP99" s="40"/>
    </row>
    <row r="100" ht="15.75" customHeight="1">
      <c r="A100" s="6"/>
      <c r="B100" s="47"/>
      <c r="C100" s="7"/>
      <c r="D100" s="42" t="s">
        <v>43</v>
      </c>
      <c r="E100" s="42">
        <v>0.0</v>
      </c>
      <c r="F100" s="42">
        <v>0.0</v>
      </c>
      <c r="G100" s="43">
        <v>0.0</v>
      </c>
      <c r="H100" s="43">
        <v>0.0</v>
      </c>
      <c r="I100" s="43">
        <v>0.0</v>
      </c>
      <c r="J100" s="43">
        <v>0.0</v>
      </c>
      <c r="K100" s="43">
        <v>0.0</v>
      </c>
      <c r="L100" s="43">
        <v>0.0</v>
      </c>
      <c r="M100" s="43">
        <v>0.0</v>
      </c>
      <c r="N100" s="43">
        <v>0.0</v>
      </c>
      <c r="O100" s="42">
        <v>0.0</v>
      </c>
      <c r="P100" s="43">
        <f t="shared" si="4"/>
        <v>0</v>
      </c>
      <c r="Q100" s="42" t="s">
        <v>40</v>
      </c>
      <c r="R100" s="42" t="s">
        <v>44</v>
      </c>
      <c r="S100" s="42">
        <v>900.0</v>
      </c>
      <c r="T100" s="44">
        <f t="shared" si="1"/>
        <v>0</v>
      </c>
      <c r="U100" s="42" t="s">
        <v>45</v>
      </c>
      <c r="V100" s="42" t="s">
        <v>46</v>
      </c>
      <c r="W100" s="42" t="s">
        <v>47</v>
      </c>
      <c r="X100" s="42" t="s">
        <v>47</v>
      </c>
      <c r="Y100" s="42" t="s">
        <v>47</v>
      </c>
      <c r="Z100" s="42" t="s">
        <v>47</v>
      </c>
      <c r="AA100" s="42" t="s">
        <v>48</v>
      </c>
      <c r="AB100" s="42" t="s">
        <v>47</v>
      </c>
      <c r="AC100" s="42" t="s">
        <v>47</v>
      </c>
      <c r="AD100" s="42" t="s">
        <v>47</v>
      </c>
      <c r="AE100" s="42" t="s">
        <v>47</v>
      </c>
      <c r="AF100" s="42" t="s">
        <v>49</v>
      </c>
      <c r="AG100" s="36"/>
      <c r="AH100" s="36"/>
      <c r="AI100" s="40"/>
      <c r="AJ100" s="40"/>
      <c r="AK100" s="40"/>
      <c r="AL100" s="40"/>
      <c r="AM100" s="40"/>
      <c r="AN100" s="40"/>
      <c r="AO100" s="40"/>
      <c r="AP100" s="40"/>
    </row>
    <row r="101" ht="15.75" customHeight="1">
      <c r="A101" s="33">
        <v>21587.0</v>
      </c>
      <c r="B101" s="33" t="s">
        <v>97</v>
      </c>
      <c r="C101" s="33" t="s">
        <v>98</v>
      </c>
      <c r="D101" s="34" t="s">
        <v>39</v>
      </c>
      <c r="E101" s="34">
        <v>39.0</v>
      </c>
      <c r="F101" s="34">
        <v>38.0</v>
      </c>
      <c r="G101" s="35">
        <v>100.0</v>
      </c>
      <c r="H101" s="35">
        <v>100.0</v>
      </c>
      <c r="I101" s="35">
        <v>100.0</v>
      </c>
      <c r="J101" s="35">
        <v>98.0</v>
      </c>
      <c r="K101" s="35">
        <v>99.5</v>
      </c>
      <c r="L101" s="35">
        <v>100.0</v>
      </c>
      <c r="M101" s="35">
        <v>100.0</v>
      </c>
      <c r="N101" s="35">
        <v>99.5</v>
      </c>
      <c r="O101" s="36"/>
      <c r="P101" s="35">
        <f t="shared" si="4"/>
        <v>797</v>
      </c>
      <c r="Q101" s="34" t="s">
        <v>40</v>
      </c>
      <c r="R101" s="36"/>
      <c r="S101" s="34">
        <v>800.0</v>
      </c>
      <c r="T101" s="37">
        <f t="shared" si="1"/>
        <v>0.99625</v>
      </c>
      <c r="U101" s="36"/>
      <c r="V101" s="36"/>
      <c r="W101" s="38"/>
      <c r="X101" s="39"/>
      <c r="Y101" s="39"/>
      <c r="Z101" s="39"/>
      <c r="AA101" s="39"/>
      <c r="AB101" s="39"/>
      <c r="AC101" s="39"/>
      <c r="AD101" s="39"/>
      <c r="AE101" s="39"/>
      <c r="AF101" s="3"/>
      <c r="AG101" s="36"/>
      <c r="AH101" s="36"/>
      <c r="AI101" s="40"/>
      <c r="AJ101" s="40"/>
      <c r="AK101" s="40"/>
      <c r="AL101" s="40"/>
      <c r="AM101" s="40"/>
      <c r="AN101" s="40"/>
      <c r="AO101" s="40"/>
      <c r="AP101" s="40"/>
    </row>
    <row r="102" ht="15.75" customHeight="1">
      <c r="A102" s="41"/>
      <c r="B102" s="41"/>
      <c r="C102" s="41"/>
      <c r="D102" s="42" t="s">
        <v>41</v>
      </c>
      <c r="E102" s="42">
        <v>46.0</v>
      </c>
      <c r="F102" s="42">
        <v>45.0</v>
      </c>
      <c r="G102" s="43">
        <v>100.0</v>
      </c>
      <c r="H102" s="43">
        <v>98.5</v>
      </c>
      <c r="I102" s="43">
        <v>98.25</v>
      </c>
      <c r="J102" s="43">
        <v>94.0</v>
      </c>
      <c r="K102" s="43">
        <v>97.0</v>
      </c>
      <c r="L102" s="43">
        <v>81.0</v>
      </c>
      <c r="M102" s="43">
        <v>98.5</v>
      </c>
      <c r="N102" s="43">
        <v>92.5</v>
      </c>
      <c r="O102" s="41"/>
      <c r="P102" s="43">
        <f t="shared" si="4"/>
        <v>759.75</v>
      </c>
      <c r="Q102" s="42" t="s">
        <v>40</v>
      </c>
      <c r="R102" s="41"/>
      <c r="S102" s="42">
        <v>800.0</v>
      </c>
      <c r="T102" s="44">
        <f t="shared" si="1"/>
        <v>0.9496875</v>
      </c>
      <c r="U102" s="41"/>
      <c r="V102" s="41"/>
      <c r="W102" s="45"/>
      <c r="AF102" s="46"/>
      <c r="AG102" s="36"/>
      <c r="AH102" s="36"/>
      <c r="AI102" s="40"/>
      <c r="AJ102" s="40"/>
      <c r="AK102" s="40"/>
      <c r="AL102" s="40"/>
      <c r="AM102" s="40"/>
      <c r="AN102" s="40"/>
      <c r="AO102" s="40"/>
      <c r="AP102" s="40"/>
    </row>
    <row r="103" ht="15.75" customHeight="1">
      <c r="A103" s="36"/>
      <c r="B103" s="36"/>
      <c r="C103" s="36"/>
      <c r="D103" s="34" t="s">
        <v>42</v>
      </c>
      <c r="E103" s="34">
        <v>0.0</v>
      </c>
      <c r="F103" s="34">
        <v>0.0</v>
      </c>
      <c r="G103" s="35">
        <v>0.0</v>
      </c>
      <c r="H103" s="35">
        <v>0.0</v>
      </c>
      <c r="I103" s="35">
        <v>0.0</v>
      </c>
      <c r="J103" s="35">
        <v>0.0</v>
      </c>
      <c r="K103" s="35">
        <v>0.0</v>
      </c>
      <c r="L103" s="35">
        <v>0.0</v>
      </c>
      <c r="M103" s="35">
        <v>0.0</v>
      </c>
      <c r="N103" s="35">
        <v>0.0</v>
      </c>
      <c r="O103" s="36"/>
      <c r="P103" s="35">
        <f t="shared" si="4"/>
        <v>0</v>
      </c>
      <c r="Q103" s="34" t="s">
        <v>40</v>
      </c>
      <c r="R103" s="36"/>
      <c r="S103" s="34">
        <v>800.0</v>
      </c>
      <c r="T103" s="37">
        <f t="shared" si="1"/>
        <v>0</v>
      </c>
      <c r="U103" s="36"/>
      <c r="V103" s="36"/>
      <c r="W103" s="6"/>
      <c r="X103" s="47"/>
      <c r="Y103" s="47"/>
      <c r="Z103" s="47"/>
      <c r="AA103" s="47"/>
      <c r="AB103" s="47"/>
      <c r="AC103" s="47"/>
      <c r="AD103" s="47"/>
      <c r="AE103" s="47"/>
      <c r="AF103" s="7"/>
      <c r="AG103" s="36"/>
      <c r="AH103" s="36"/>
      <c r="AI103" s="40"/>
      <c r="AJ103" s="40"/>
      <c r="AK103" s="40"/>
      <c r="AL103" s="40"/>
      <c r="AM103" s="40"/>
      <c r="AN103" s="40"/>
      <c r="AO103" s="40"/>
      <c r="AP103" s="40"/>
    </row>
    <row r="104" ht="15.75" customHeight="1">
      <c r="A104" s="41"/>
      <c r="B104" s="41"/>
      <c r="C104" s="41"/>
      <c r="D104" s="42" t="s">
        <v>43</v>
      </c>
      <c r="E104" s="42">
        <v>0.0</v>
      </c>
      <c r="F104" s="42">
        <v>0.0</v>
      </c>
      <c r="G104" s="43">
        <v>0.0</v>
      </c>
      <c r="H104" s="43">
        <v>0.0</v>
      </c>
      <c r="I104" s="43">
        <v>0.0</v>
      </c>
      <c r="J104" s="43">
        <v>0.0</v>
      </c>
      <c r="K104" s="43">
        <v>0.0</v>
      </c>
      <c r="L104" s="43">
        <v>0.0</v>
      </c>
      <c r="M104" s="43">
        <v>0.0</v>
      </c>
      <c r="N104" s="43">
        <v>0.0</v>
      </c>
      <c r="O104" s="42">
        <v>0.0</v>
      </c>
      <c r="P104" s="43">
        <f t="shared" si="4"/>
        <v>0</v>
      </c>
      <c r="Q104" s="42" t="s">
        <v>40</v>
      </c>
      <c r="R104" s="42" t="s">
        <v>44</v>
      </c>
      <c r="S104" s="42">
        <v>900.0</v>
      </c>
      <c r="T104" s="44">
        <f t="shared" si="1"/>
        <v>0</v>
      </c>
      <c r="U104" s="42" t="s">
        <v>45</v>
      </c>
      <c r="V104" s="42" t="s">
        <v>46</v>
      </c>
      <c r="W104" s="42" t="s">
        <v>47</v>
      </c>
      <c r="X104" s="42" t="s">
        <v>47</v>
      </c>
      <c r="Y104" s="42" t="s">
        <v>47</v>
      </c>
      <c r="Z104" s="42" t="s">
        <v>47</v>
      </c>
      <c r="AA104" s="42" t="s">
        <v>48</v>
      </c>
      <c r="AB104" s="42" t="s">
        <v>47</v>
      </c>
      <c r="AC104" s="42" t="s">
        <v>47</v>
      </c>
      <c r="AD104" s="42" t="s">
        <v>47</v>
      </c>
      <c r="AE104" s="42" t="s">
        <v>47</v>
      </c>
      <c r="AF104" s="42" t="s">
        <v>49</v>
      </c>
      <c r="AG104" s="36"/>
      <c r="AH104" s="36"/>
      <c r="AI104" s="40"/>
      <c r="AJ104" s="40"/>
      <c r="AK104" s="40"/>
      <c r="AL104" s="40"/>
      <c r="AM104" s="40"/>
      <c r="AN104" s="40"/>
      <c r="AO104" s="40"/>
      <c r="AP104" s="40"/>
    </row>
    <row r="105" ht="15.75" customHeight="1">
      <c r="A105" s="33">
        <v>21614.0</v>
      </c>
      <c r="B105" s="33" t="s">
        <v>99</v>
      </c>
      <c r="C105" s="33" t="s">
        <v>100</v>
      </c>
      <c r="D105" s="34" t="s">
        <v>39</v>
      </c>
      <c r="E105" s="34">
        <v>39.0</v>
      </c>
      <c r="F105" s="34">
        <v>23.0</v>
      </c>
      <c r="G105" s="35">
        <v>78.0</v>
      </c>
      <c r="H105" s="35">
        <v>70.5</v>
      </c>
      <c r="I105" s="35">
        <v>71.0</v>
      </c>
      <c r="J105" s="35">
        <v>96.0</v>
      </c>
      <c r="K105" s="35">
        <v>85.5</v>
      </c>
      <c r="L105" s="35">
        <v>92.0</v>
      </c>
      <c r="M105" s="35">
        <v>51.0</v>
      </c>
      <c r="N105" s="35">
        <v>82.0</v>
      </c>
      <c r="O105" s="36"/>
      <c r="P105" s="35">
        <f t="shared" si="4"/>
        <v>626</v>
      </c>
      <c r="Q105" s="34" t="s">
        <v>40</v>
      </c>
      <c r="R105" s="36"/>
      <c r="S105" s="34">
        <v>800.0</v>
      </c>
      <c r="T105" s="37">
        <f t="shared" si="1"/>
        <v>0.7825</v>
      </c>
      <c r="U105" s="36"/>
      <c r="V105" s="36"/>
      <c r="W105" s="38"/>
      <c r="X105" s="39"/>
      <c r="Y105" s="39"/>
      <c r="Z105" s="39"/>
      <c r="AA105" s="39"/>
      <c r="AB105" s="39"/>
      <c r="AC105" s="39"/>
      <c r="AD105" s="39"/>
      <c r="AE105" s="39"/>
      <c r="AF105" s="3"/>
      <c r="AG105" s="36"/>
      <c r="AH105" s="36"/>
      <c r="AI105" s="40"/>
      <c r="AJ105" s="40"/>
      <c r="AK105" s="40"/>
      <c r="AL105" s="40"/>
      <c r="AM105" s="40"/>
      <c r="AN105" s="40"/>
      <c r="AO105" s="40"/>
      <c r="AP105" s="40"/>
    </row>
    <row r="106" ht="15.75" customHeight="1">
      <c r="A106" s="48"/>
      <c r="B106" s="39"/>
      <c r="C106" s="3"/>
      <c r="D106" s="42" t="s">
        <v>41</v>
      </c>
      <c r="E106" s="42">
        <v>46.0</v>
      </c>
      <c r="F106" s="42">
        <v>28.0</v>
      </c>
      <c r="G106" s="43">
        <v>62.0</v>
      </c>
      <c r="H106" s="43">
        <v>50.0</v>
      </c>
      <c r="I106" s="43">
        <v>45.5</v>
      </c>
      <c r="J106" s="43">
        <v>70.0</v>
      </c>
      <c r="K106" s="43">
        <v>64.5</v>
      </c>
      <c r="L106" s="43">
        <v>41.0</v>
      </c>
      <c r="M106" s="43">
        <v>64.5</v>
      </c>
      <c r="N106" s="43">
        <v>61.0</v>
      </c>
      <c r="O106" s="41"/>
      <c r="P106" s="43">
        <f t="shared" si="4"/>
        <v>458.5</v>
      </c>
      <c r="Q106" s="42" t="s">
        <v>40</v>
      </c>
      <c r="R106" s="41"/>
      <c r="S106" s="42">
        <v>800.0</v>
      </c>
      <c r="T106" s="44">
        <f t="shared" si="1"/>
        <v>0.573125</v>
      </c>
      <c r="U106" s="41"/>
      <c r="V106" s="41"/>
      <c r="W106" s="45"/>
      <c r="AF106" s="46"/>
      <c r="AG106" s="36"/>
      <c r="AH106" s="36"/>
      <c r="AI106" s="40"/>
      <c r="AJ106" s="40"/>
      <c r="AK106" s="40"/>
      <c r="AL106" s="40"/>
      <c r="AM106" s="40"/>
      <c r="AN106" s="40"/>
      <c r="AO106" s="40"/>
      <c r="AP106" s="40"/>
    </row>
    <row r="107" ht="15.75" customHeight="1">
      <c r="A107" s="45"/>
      <c r="C107" s="46"/>
      <c r="D107" s="34" t="s">
        <v>42</v>
      </c>
      <c r="E107" s="34">
        <v>0.0</v>
      </c>
      <c r="F107" s="34">
        <v>0.0</v>
      </c>
      <c r="G107" s="35">
        <v>0.0</v>
      </c>
      <c r="H107" s="35">
        <v>0.0</v>
      </c>
      <c r="I107" s="35">
        <v>0.0</v>
      </c>
      <c r="J107" s="35">
        <v>0.0</v>
      </c>
      <c r="K107" s="35">
        <v>0.0</v>
      </c>
      <c r="L107" s="35">
        <v>0.0</v>
      </c>
      <c r="M107" s="35">
        <v>0.0</v>
      </c>
      <c r="N107" s="35">
        <v>0.0</v>
      </c>
      <c r="O107" s="36"/>
      <c r="P107" s="35">
        <f t="shared" si="4"/>
        <v>0</v>
      </c>
      <c r="Q107" s="34" t="s">
        <v>40</v>
      </c>
      <c r="R107" s="36"/>
      <c r="S107" s="34">
        <v>800.0</v>
      </c>
      <c r="T107" s="37">
        <f t="shared" si="1"/>
        <v>0</v>
      </c>
      <c r="U107" s="36"/>
      <c r="V107" s="36"/>
      <c r="W107" s="6"/>
      <c r="X107" s="47"/>
      <c r="Y107" s="47"/>
      <c r="Z107" s="47"/>
      <c r="AA107" s="47"/>
      <c r="AB107" s="47"/>
      <c r="AC107" s="47"/>
      <c r="AD107" s="47"/>
      <c r="AE107" s="47"/>
      <c r="AF107" s="7"/>
      <c r="AG107" s="36"/>
      <c r="AH107" s="36"/>
      <c r="AI107" s="40"/>
      <c r="AJ107" s="40"/>
      <c r="AK107" s="40"/>
      <c r="AL107" s="40"/>
      <c r="AM107" s="40"/>
      <c r="AN107" s="40"/>
      <c r="AO107" s="40"/>
      <c r="AP107" s="40"/>
    </row>
    <row r="108" ht="15.75" customHeight="1">
      <c r="A108" s="6"/>
      <c r="B108" s="47"/>
      <c r="C108" s="7"/>
      <c r="D108" s="42" t="s">
        <v>43</v>
      </c>
      <c r="E108" s="42">
        <v>0.0</v>
      </c>
      <c r="F108" s="42">
        <v>0.0</v>
      </c>
      <c r="G108" s="43">
        <v>0.0</v>
      </c>
      <c r="H108" s="43">
        <v>0.0</v>
      </c>
      <c r="I108" s="43">
        <v>0.0</v>
      </c>
      <c r="J108" s="43">
        <v>0.0</v>
      </c>
      <c r="K108" s="43">
        <v>0.0</v>
      </c>
      <c r="L108" s="43">
        <v>0.0</v>
      </c>
      <c r="M108" s="43">
        <v>0.0</v>
      </c>
      <c r="N108" s="43">
        <v>0.0</v>
      </c>
      <c r="O108" s="42">
        <v>0.0</v>
      </c>
      <c r="P108" s="43">
        <f t="shared" si="4"/>
        <v>0</v>
      </c>
      <c r="Q108" s="42" t="s">
        <v>40</v>
      </c>
      <c r="R108" s="42" t="s">
        <v>44</v>
      </c>
      <c r="S108" s="42">
        <v>900.0</v>
      </c>
      <c r="T108" s="44">
        <f t="shared" si="1"/>
        <v>0</v>
      </c>
      <c r="U108" s="42" t="s">
        <v>45</v>
      </c>
      <c r="V108" s="42" t="s">
        <v>46</v>
      </c>
      <c r="W108" s="42" t="s">
        <v>47</v>
      </c>
      <c r="X108" s="42" t="s">
        <v>47</v>
      </c>
      <c r="Y108" s="42" t="s">
        <v>47</v>
      </c>
      <c r="Z108" s="42" t="s">
        <v>47</v>
      </c>
      <c r="AA108" s="42" t="s">
        <v>48</v>
      </c>
      <c r="AB108" s="42" t="s">
        <v>47</v>
      </c>
      <c r="AC108" s="42" t="s">
        <v>47</v>
      </c>
      <c r="AD108" s="42" t="s">
        <v>47</v>
      </c>
      <c r="AE108" s="42" t="s">
        <v>47</v>
      </c>
      <c r="AF108" s="42" t="s">
        <v>49</v>
      </c>
      <c r="AG108" s="36"/>
      <c r="AH108" s="36"/>
      <c r="AI108" s="40"/>
      <c r="AJ108" s="40"/>
      <c r="AK108" s="40"/>
      <c r="AL108" s="40"/>
      <c r="AM108" s="40"/>
      <c r="AN108" s="40"/>
      <c r="AO108" s="40"/>
      <c r="AP108" s="40"/>
    </row>
    <row r="109" ht="15.75" customHeight="1">
      <c r="A109" s="33">
        <v>21618.0</v>
      </c>
      <c r="B109" s="33" t="s">
        <v>101</v>
      </c>
      <c r="C109" s="33" t="s">
        <v>102</v>
      </c>
      <c r="D109" s="34" t="s">
        <v>39</v>
      </c>
      <c r="E109" s="34">
        <v>39.0</v>
      </c>
      <c r="F109" s="34">
        <v>39.0</v>
      </c>
      <c r="G109" s="35">
        <v>85.5</v>
      </c>
      <c r="H109" s="35">
        <v>77.0</v>
      </c>
      <c r="I109" s="35">
        <v>77.0</v>
      </c>
      <c r="J109" s="35">
        <v>98.5</v>
      </c>
      <c r="K109" s="35">
        <v>86.5</v>
      </c>
      <c r="L109" s="35">
        <v>97.0</v>
      </c>
      <c r="M109" s="35">
        <v>80.5</v>
      </c>
      <c r="N109" s="35">
        <v>94.5</v>
      </c>
      <c r="O109" s="36"/>
      <c r="P109" s="35">
        <f t="shared" si="4"/>
        <v>696.5</v>
      </c>
      <c r="Q109" s="34" t="s">
        <v>40</v>
      </c>
      <c r="R109" s="36"/>
      <c r="S109" s="34">
        <v>800.0</v>
      </c>
      <c r="T109" s="37">
        <f t="shared" si="1"/>
        <v>0.870625</v>
      </c>
      <c r="U109" s="36"/>
      <c r="V109" s="36"/>
      <c r="W109" s="38"/>
      <c r="X109" s="39"/>
      <c r="Y109" s="39"/>
      <c r="Z109" s="39"/>
      <c r="AA109" s="39"/>
      <c r="AB109" s="39"/>
      <c r="AC109" s="39"/>
      <c r="AD109" s="39"/>
      <c r="AE109" s="39"/>
      <c r="AF109" s="3"/>
      <c r="AG109" s="36"/>
      <c r="AH109" s="36"/>
      <c r="AI109" s="40"/>
      <c r="AJ109" s="40"/>
      <c r="AK109" s="40"/>
      <c r="AL109" s="40"/>
      <c r="AM109" s="40"/>
      <c r="AN109" s="40"/>
      <c r="AO109" s="40"/>
      <c r="AP109" s="40"/>
    </row>
    <row r="110" ht="15.75" customHeight="1">
      <c r="A110" s="48"/>
      <c r="B110" s="39"/>
      <c r="C110" s="3"/>
      <c r="D110" s="42" t="s">
        <v>41</v>
      </c>
      <c r="E110" s="42">
        <v>46.0</v>
      </c>
      <c r="F110" s="42">
        <v>46.0</v>
      </c>
      <c r="G110" s="43">
        <v>86.0</v>
      </c>
      <c r="H110" s="43">
        <v>57.0</v>
      </c>
      <c r="I110" s="43">
        <v>65.25</v>
      </c>
      <c r="J110" s="43">
        <v>97.0</v>
      </c>
      <c r="K110" s="43">
        <v>88.5</v>
      </c>
      <c r="L110" s="43">
        <v>66.0</v>
      </c>
      <c r="M110" s="43">
        <v>78.0</v>
      </c>
      <c r="N110" s="43">
        <v>78.5</v>
      </c>
      <c r="O110" s="41"/>
      <c r="P110" s="43">
        <f t="shared" si="4"/>
        <v>616.25</v>
      </c>
      <c r="Q110" s="42" t="s">
        <v>40</v>
      </c>
      <c r="R110" s="41"/>
      <c r="S110" s="42">
        <v>800.0</v>
      </c>
      <c r="T110" s="44">
        <f t="shared" si="1"/>
        <v>0.7703125</v>
      </c>
      <c r="U110" s="41"/>
      <c r="V110" s="41"/>
      <c r="W110" s="45"/>
      <c r="AF110" s="46"/>
      <c r="AG110" s="36"/>
      <c r="AH110" s="36"/>
      <c r="AI110" s="40"/>
      <c r="AJ110" s="40"/>
      <c r="AK110" s="40"/>
      <c r="AL110" s="40"/>
      <c r="AM110" s="40"/>
      <c r="AN110" s="40"/>
      <c r="AO110" s="40"/>
      <c r="AP110" s="40"/>
    </row>
    <row r="111" ht="15.75" customHeight="1">
      <c r="A111" s="45"/>
      <c r="C111" s="46"/>
      <c r="D111" s="34" t="s">
        <v>42</v>
      </c>
      <c r="E111" s="34">
        <v>0.0</v>
      </c>
      <c r="F111" s="34">
        <v>0.0</v>
      </c>
      <c r="G111" s="35">
        <v>0.0</v>
      </c>
      <c r="H111" s="35">
        <v>0.0</v>
      </c>
      <c r="I111" s="35">
        <v>0.0</v>
      </c>
      <c r="J111" s="35">
        <v>0.0</v>
      </c>
      <c r="K111" s="35">
        <v>0.0</v>
      </c>
      <c r="L111" s="35">
        <v>0.0</v>
      </c>
      <c r="M111" s="35">
        <v>0.0</v>
      </c>
      <c r="N111" s="35">
        <v>0.0</v>
      </c>
      <c r="O111" s="36"/>
      <c r="P111" s="35">
        <f t="shared" si="4"/>
        <v>0</v>
      </c>
      <c r="Q111" s="34" t="s">
        <v>40</v>
      </c>
      <c r="R111" s="36"/>
      <c r="S111" s="34">
        <v>800.0</v>
      </c>
      <c r="T111" s="37">
        <f t="shared" si="1"/>
        <v>0</v>
      </c>
      <c r="U111" s="36"/>
      <c r="V111" s="36"/>
      <c r="W111" s="6"/>
      <c r="X111" s="47"/>
      <c r="Y111" s="47"/>
      <c r="Z111" s="47"/>
      <c r="AA111" s="47"/>
      <c r="AB111" s="47"/>
      <c r="AC111" s="47"/>
      <c r="AD111" s="47"/>
      <c r="AE111" s="47"/>
      <c r="AF111" s="7"/>
      <c r="AG111" s="36"/>
      <c r="AH111" s="36"/>
      <c r="AI111" s="40"/>
      <c r="AJ111" s="40"/>
      <c r="AK111" s="40"/>
      <c r="AL111" s="40"/>
      <c r="AM111" s="40"/>
      <c r="AN111" s="40"/>
      <c r="AO111" s="40"/>
      <c r="AP111" s="40"/>
    </row>
    <row r="112" ht="15.75" customHeight="1">
      <c r="A112" s="6"/>
      <c r="B112" s="47"/>
      <c r="C112" s="7"/>
      <c r="D112" s="42" t="s">
        <v>43</v>
      </c>
      <c r="E112" s="42">
        <v>0.0</v>
      </c>
      <c r="F112" s="42">
        <v>0.0</v>
      </c>
      <c r="G112" s="43">
        <v>0.0</v>
      </c>
      <c r="H112" s="43">
        <v>0.0</v>
      </c>
      <c r="I112" s="43">
        <v>0.0</v>
      </c>
      <c r="J112" s="43">
        <v>0.0</v>
      </c>
      <c r="K112" s="43">
        <v>0.0</v>
      </c>
      <c r="L112" s="43">
        <v>0.0</v>
      </c>
      <c r="M112" s="43">
        <v>0.0</v>
      </c>
      <c r="N112" s="43">
        <v>0.0</v>
      </c>
      <c r="O112" s="42">
        <v>0.0</v>
      </c>
      <c r="P112" s="43">
        <f t="shared" si="4"/>
        <v>0</v>
      </c>
      <c r="Q112" s="42" t="s">
        <v>40</v>
      </c>
      <c r="R112" s="42" t="s">
        <v>44</v>
      </c>
      <c r="S112" s="42">
        <v>900.0</v>
      </c>
      <c r="T112" s="44">
        <f t="shared" si="1"/>
        <v>0</v>
      </c>
      <c r="U112" s="42" t="s">
        <v>45</v>
      </c>
      <c r="V112" s="42" t="s">
        <v>46</v>
      </c>
      <c r="W112" s="42" t="s">
        <v>47</v>
      </c>
      <c r="X112" s="42" t="s">
        <v>47</v>
      </c>
      <c r="Y112" s="42" t="s">
        <v>47</v>
      </c>
      <c r="Z112" s="42" t="s">
        <v>47</v>
      </c>
      <c r="AA112" s="42" t="s">
        <v>48</v>
      </c>
      <c r="AB112" s="42" t="s">
        <v>47</v>
      </c>
      <c r="AC112" s="42" t="s">
        <v>47</v>
      </c>
      <c r="AD112" s="42" t="s">
        <v>47</v>
      </c>
      <c r="AE112" s="42" t="s">
        <v>47</v>
      </c>
      <c r="AF112" s="42" t="s">
        <v>49</v>
      </c>
      <c r="AG112" s="36"/>
      <c r="AH112" s="36"/>
      <c r="AI112" s="40"/>
      <c r="AJ112" s="40"/>
      <c r="AK112" s="40"/>
      <c r="AL112" s="40"/>
      <c r="AM112" s="40"/>
      <c r="AN112" s="40"/>
      <c r="AO112" s="40"/>
      <c r="AP112" s="40"/>
    </row>
    <row r="113" ht="15.75" customHeight="1">
      <c r="A113" s="33">
        <v>21621.0</v>
      </c>
      <c r="B113" s="33" t="s">
        <v>103</v>
      </c>
      <c r="C113" s="33" t="s">
        <v>104</v>
      </c>
      <c r="D113" s="34" t="s">
        <v>39</v>
      </c>
      <c r="E113" s="34">
        <v>39.0</v>
      </c>
      <c r="F113" s="34">
        <v>0.0</v>
      </c>
      <c r="G113" s="35" t="s">
        <v>66</v>
      </c>
      <c r="H113" s="35" t="s">
        <v>66</v>
      </c>
      <c r="I113" s="35" t="s">
        <v>66</v>
      </c>
      <c r="J113" s="35" t="s">
        <v>66</v>
      </c>
      <c r="K113" s="35" t="s">
        <v>66</v>
      </c>
      <c r="L113" s="35" t="s">
        <v>66</v>
      </c>
      <c r="M113" s="35" t="s">
        <v>66</v>
      </c>
      <c r="N113" s="35" t="s">
        <v>66</v>
      </c>
      <c r="O113" s="36"/>
      <c r="P113" s="35">
        <f t="shared" si="4"/>
        <v>0</v>
      </c>
      <c r="Q113" s="34" t="s">
        <v>40</v>
      </c>
      <c r="R113" s="36"/>
      <c r="S113" s="34">
        <v>800.0</v>
      </c>
      <c r="T113" s="37">
        <f t="shared" si="1"/>
        <v>0</v>
      </c>
      <c r="U113" s="36"/>
      <c r="V113" s="36"/>
      <c r="W113" s="38"/>
      <c r="X113" s="39"/>
      <c r="Y113" s="39"/>
      <c r="Z113" s="39"/>
      <c r="AA113" s="39"/>
      <c r="AB113" s="39"/>
      <c r="AC113" s="39"/>
      <c r="AD113" s="39"/>
      <c r="AE113" s="39"/>
      <c r="AF113" s="3"/>
      <c r="AG113" s="36"/>
      <c r="AH113" s="36"/>
      <c r="AI113" s="40"/>
      <c r="AJ113" s="40"/>
      <c r="AK113" s="40"/>
      <c r="AL113" s="40"/>
      <c r="AM113" s="40"/>
      <c r="AN113" s="40"/>
      <c r="AO113" s="40"/>
      <c r="AP113" s="40"/>
    </row>
    <row r="114" ht="15.75" customHeight="1">
      <c r="A114" s="41"/>
      <c r="B114" s="41"/>
      <c r="C114" s="41"/>
      <c r="D114" s="42" t="s">
        <v>41</v>
      </c>
      <c r="E114" s="42">
        <v>46.0</v>
      </c>
      <c r="F114" s="42">
        <v>25.0</v>
      </c>
      <c r="G114" s="43">
        <v>55.0</v>
      </c>
      <c r="H114" s="43">
        <v>80.0</v>
      </c>
      <c r="I114" s="43">
        <v>60.0</v>
      </c>
      <c r="J114" s="43">
        <v>85.0</v>
      </c>
      <c r="K114" s="43">
        <v>60.0</v>
      </c>
      <c r="L114" s="43">
        <v>63.5</v>
      </c>
      <c r="M114" s="43">
        <v>43.0</v>
      </c>
      <c r="N114" s="43">
        <v>66.0</v>
      </c>
      <c r="O114" s="41"/>
      <c r="P114" s="43">
        <f t="shared" si="4"/>
        <v>512.5</v>
      </c>
      <c r="Q114" s="42" t="s">
        <v>40</v>
      </c>
      <c r="R114" s="41"/>
      <c r="S114" s="42">
        <v>800.0</v>
      </c>
      <c r="T114" s="44">
        <f t="shared" si="1"/>
        <v>0.640625</v>
      </c>
      <c r="U114" s="41"/>
      <c r="V114" s="41"/>
      <c r="W114" s="45"/>
      <c r="AF114" s="46"/>
      <c r="AG114" s="36"/>
      <c r="AH114" s="36"/>
      <c r="AI114" s="40"/>
      <c r="AJ114" s="40"/>
      <c r="AK114" s="40"/>
      <c r="AL114" s="40"/>
      <c r="AM114" s="40"/>
      <c r="AN114" s="40"/>
      <c r="AO114" s="40"/>
      <c r="AP114" s="40"/>
    </row>
    <row r="115" ht="15.75" customHeight="1">
      <c r="A115" s="36"/>
      <c r="B115" s="36"/>
      <c r="C115" s="36"/>
      <c r="D115" s="34" t="s">
        <v>42</v>
      </c>
      <c r="E115" s="34">
        <v>0.0</v>
      </c>
      <c r="F115" s="34">
        <v>0.0</v>
      </c>
      <c r="G115" s="35">
        <v>0.0</v>
      </c>
      <c r="H115" s="35">
        <v>0.0</v>
      </c>
      <c r="I115" s="35">
        <v>0.0</v>
      </c>
      <c r="J115" s="35">
        <v>0.0</v>
      </c>
      <c r="K115" s="35">
        <v>0.0</v>
      </c>
      <c r="L115" s="35">
        <v>0.0</v>
      </c>
      <c r="M115" s="35">
        <v>0.0</v>
      </c>
      <c r="N115" s="35">
        <v>0.0</v>
      </c>
      <c r="O115" s="36"/>
      <c r="P115" s="35">
        <f t="shared" si="4"/>
        <v>0</v>
      </c>
      <c r="Q115" s="34" t="s">
        <v>40</v>
      </c>
      <c r="R115" s="36"/>
      <c r="S115" s="34">
        <v>800.0</v>
      </c>
      <c r="T115" s="37">
        <f t="shared" si="1"/>
        <v>0</v>
      </c>
      <c r="U115" s="36"/>
      <c r="V115" s="36"/>
      <c r="W115" s="6"/>
      <c r="X115" s="47"/>
      <c r="Y115" s="47"/>
      <c r="Z115" s="47"/>
      <c r="AA115" s="47"/>
      <c r="AB115" s="47"/>
      <c r="AC115" s="47"/>
      <c r="AD115" s="47"/>
      <c r="AE115" s="47"/>
      <c r="AF115" s="7"/>
      <c r="AG115" s="36"/>
      <c r="AH115" s="36"/>
      <c r="AI115" s="40"/>
      <c r="AJ115" s="40"/>
      <c r="AK115" s="40"/>
      <c r="AL115" s="40"/>
      <c r="AM115" s="40"/>
      <c r="AN115" s="40"/>
      <c r="AO115" s="40"/>
      <c r="AP115" s="40"/>
    </row>
    <row r="116" ht="15.75" customHeight="1">
      <c r="A116" s="41"/>
      <c r="B116" s="41"/>
      <c r="C116" s="41"/>
      <c r="D116" s="42" t="s">
        <v>43</v>
      </c>
      <c r="E116" s="42">
        <v>0.0</v>
      </c>
      <c r="F116" s="42">
        <v>0.0</v>
      </c>
      <c r="G116" s="43">
        <v>0.0</v>
      </c>
      <c r="H116" s="43">
        <v>0.0</v>
      </c>
      <c r="I116" s="43">
        <v>0.0</v>
      </c>
      <c r="J116" s="43">
        <v>0.0</v>
      </c>
      <c r="K116" s="43">
        <v>0.0</v>
      </c>
      <c r="L116" s="43">
        <v>0.0</v>
      </c>
      <c r="M116" s="43">
        <v>0.0</v>
      </c>
      <c r="N116" s="43">
        <v>0.0</v>
      </c>
      <c r="O116" s="42">
        <v>0.0</v>
      </c>
      <c r="P116" s="43">
        <f t="shared" si="4"/>
        <v>0</v>
      </c>
      <c r="Q116" s="42" t="s">
        <v>40</v>
      </c>
      <c r="R116" s="42" t="s">
        <v>44</v>
      </c>
      <c r="S116" s="42">
        <v>900.0</v>
      </c>
      <c r="T116" s="44">
        <f t="shared" si="1"/>
        <v>0</v>
      </c>
      <c r="U116" s="42" t="s">
        <v>45</v>
      </c>
      <c r="V116" s="42" t="s">
        <v>46</v>
      </c>
      <c r="W116" s="42" t="s">
        <v>47</v>
      </c>
      <c r="X116" s="42" t="s">
        <v>47</v>
      </c>
      <c r="Y116" s="42" t="s">
        <v>47</v>
      </c>
      <c r="Z116" s="42" t="s">
        <v>47</v>
      </c>
      <c r="AA116" s="42" t="s">
        <v>48</v>
      </c>
      <c r="AB116" s="42" t="s">
        <v>47</v>
      </c>
      <c r="AC116" s="42" t="s">
        <v>47</v>
      </c>
      <c r="AD116" s="42" t="s">
        <v>47</v>
      </c>
      <c r="AE116" s="42" t="s">
        <v>47</v>
      </c>
      <c r="AF116" s="42" t="s">
        <v>49</v>
      </c>
      <c r="AG116" s="36"/>
      <c r="AH116" s="36"/>
      <c r="AI116" s="40"/>
      <c r="AJ116" s="40"/>
      <c r="AK116" s="40"/>
      <c r="AL116" s="40"/>
      <c r="AM116" s="40"/>
      <c r="AN116" s="40"/>
      <c r="AO116" s="40"/>
      <c r="AP116" s="40"/>
    </row>
    <row r="117" ht="15.75" customHeight="1">
      <c r="A117" s="33">
        <v>21693.0</v>
      </c>
      <c r="B117" s="33" t="s">
        <v>105</v>
      </c>
      <c r="C117" s="33" t="s">
        <v>106</v>
      </c>
      <c r="D117" s="34" t="s">
        <v>39</v>
      </c>
      <c r="E117" s="34">
        <v>0.0</v>
      </c>
      <c r="F117" s="34">
        <v>0.0</v>
      </c>
      <c r="G117" s="35">
        <v>0.0</v>
      </c>
      <c r="H117" s="35">
        <v>0.0</v>
      </c>
      <c r="I117" s="35">
        <v>0.0</v>
      </c>
      <c r="J117" s="35">
        <v>0.0</v>
      </c>
      <c r="K117" s="35">
        <v>0.0</v>
      </c>
      <c r="L117" s="35">
        <v>0.0</v>
      </c>
      <c r="M117" s="35">
        <v>0.0</v>
      </c>
      <c r="N117" s="35">
        <v>0.0</v>
      </c>
      <c r="O117" s="36"/>
      <c r="P117" s="35">
        <f t="shared" si="4"/>
        <v>0</v>
      </c>
      <c r="Q117" s="34" t="s">
        <v>40</v>
      </c>
      <c r="R117" s="36"/>
      <c r="S117" s="34">
        <v>800.0</v>
      </c>
      <c r="T117" s="37">
        <f t="shared" si="1"/>
        <v>0</v>
      </c>
      <c r="U117" s="36"/>
      <c r="V117" s="36"/>
      <c r="W117" s="38"/>
      <c r="X117" s="39"/>
      <c r="Y117" s="39"/>
      <c r="Z117" s="39"/>
      <c r="AA117" s="39"/>
      <c r="AB117" s="39"/>
      <c r="AC117" s="39"/>
      <c r="AD117" s="39"/>
      <c r="AE117" s="39"/>
      <c r="AF117" s="3"/>
      <c r="AG117" s="36"/>
      <c r="AH117" s="36"/>
      <c r="AI117" s="40"/>
      <c r="AJ117" s="40"/>
      <c r="AK117" s="40"/>
      <c r="AL117" s="40"/>
      <c r="AM117" s="40"/>
      <c r="AN117" s="40"/>
      <c r="AO117" s="40"/>
      <c r="AP117" s="40"/>
    </row>
    <row r="118" ht="15.75" customHeight="1">
      <c r="A118" s="41"/>
      <c r="B118" s="41"/>
      <c r="C118" s="41"/>
      <c r="D118" s="42" t="s">
        <v>41</v>
      </c>
      <c r="E118" s="42">
        <v>36.0</v>
      </c>
      <c r="F118" s="42">
        <v>31.0</v>
      </c>
      <c r="G118" s="43">
        <v>72.5</v>
      </c>
      <c r="H118" s="43">
        <v>75.5</v>
      </c>
      <c r="I118" s="43">
        <v>78.75</v>
      </c>
      <c r="J118" s="43">
        <v>84.5</v>
      </c>
      <c r="K118" s="43">
        <v>56.5</v>
      </c>
      <c r="L118" s="43">
        <v>47.0</v>
      </c>
      <c r="M118" s="43">
        <v>68.0</v>
      </c>
      <c r="N118" s="43">
        <v>64.5</v>
      </c>
      <c r="O118" s="41"/>
      <c r="P118" s="43">
        <f t="shared" si="4"/>
        <v>547.25</v>
      </c>
      <c r="Q118" s="42" t="s">
        <v>40</v>
      </c>
      <c r="R118" s="41"/>
      <c r="S118" s="42">
        <v>800.0</v>
      </c>
      <c r="T118" s="44">
        <f t="shared" si="1"/>
        <v>0.6840625</v>
      </c>
      <c r="U118" s="41"/>
      <c r="V118" s="41"/>
      <c r="W118" s="45"/>
      <c r="AF118" s="46"/>
      <c r="AG118" s="36"/>
      <c r="AH118" s="36"/>
      <c r="AI118" s="40"/>
      <c r="AJ118" s="40"/>
      <c r="AK118" s="40"/>
      <c r="AL118" s="40"/>
      <c r="AM118" s="40"/>
      <c r="AN118" s="40"/>
      <c r="AO118" s="40"/>
      <c r="AP118" s="40"/>
    </row>
    <row r="119" ht="15.75" customHeight="1">
      <c r="A119" s="36"/>
      <c r="B119" s="36"/>
      <c r="C119" s="36"/>
      <c r="D119" s="34" t="s">
        <v>42</v>
      </c>
      <c r="E119" s="34">
        <v>0.0</v>
      </c>
      <c r="F119" s="34">
        <v>0.0</v>
      </c>
      <c r="G119" s="35">
        <v>0.0</v>
      </c>
      <c r="H119" s="35">
        <v>0.0</v>
      </c>
      <c r="I119" s="35">
        <v>0.0</v>
      </c>
      <c r="J119" s="35">
        <v>0.0</v>
      </c>
      <c r="K119" s="35">
        <v>0.0</v>
      </c>
      <c r="L119" s="35">
        <v>0.0</v>
      </c>
      <c r="M119" s="35">
        <v>0.0</v>
      </c>
      <c r="N119" s="35">
        <v>0.0</v>
      </c>
      <c r="O119" s="36"/>
      <c r="P119" s="35">
        <f t="shared" si="4"/>
        <v>0</v>
      </c>
      <c r="Q119" s="34" t="s">
        <v>40</v>
      </c>
      <c r="R119" s="36"/>
      <c r="S119" s="34">
        <v>800.0</v>
      </c>
      <c r="T119" s="37">
        <f t="shared" si="1"/>
        <v>0</v>
      </c>
      <c r="U119" s="36"/>
      <c r="V119" s="36"/>
      <c r="W119" s="6"/>
      <c r="X119" s="47"/>
      <c r="Y119" s="47"/>
      <c r="Z119" s="47"/>
      <c r="AA119" s="47"/>
      <c r="AB119" s="47"/>
      <c r="AC119" s="47"/>
      <c r="AD119" s="47"/>
      <c r="AE119" s="47"/>
      <c r="AF119" s="7"/>
      <c r="AG119" s="36"/>
      <c r="AH119" s="36"/>
      <c r="AI119" s="40"/>
      <c r="AJ119" s="40"/>
      <c r="AK119" s="40"/>
      <c r="AL119" s="40"/>
      <c r="AM119" s="40"/>
      <c r="AN119" s="40"/>
      <c r="AO119" s="40"/>
      <c r="AP119" s="40"/>
    </row>
    <row r="120" ht="15.75" customHeight="1">
      <c r="A120" s="41"/>
      <c r="B120" s="41"/>
      <c r="C120" s="41"/>
      <c r="D120" s="42" t="s">
        <v>43</v>
      </c>
      <c r="E120" s="42">
        <v>0.0</v>
      </c>
      <c r="F120" s="42">
        <v>0.0</v>
      </c>
      <c r="G120" s="43">
        <v>0.0</v>
      </c>
      <c r="H120" s="43">
        <v>0.0</v>
      </c>
      <c r="I120" s="43">
        <v>0.0</v>
      </c>
      <c r="J120" s="43">
        <v>0.0</v>
      </c>
      <c r="K120" s="43">
        <v>0.0</v>
      </c>
      <c r="L120" s="43">
        <v>0.0</v>
      </c>
      <c r="M120" s="43">
        <v>0.0</v>
      </c>
      <c r="N120" s="43">
        <v>0.0</v>
      </c>
      <c r="O120" s="42">
        <v>0.0</v>
      </c>
      <c r="P120" s="43">
        <f t="shared" si="4"/>
        <v>0</v>
      </c>
      <c r="Q120" s="42" t="s">
        <v>40</v>
      </c>
      <c r="R120" s="42" t="s">
        <v>44</v>
      </c>
      <c r="S120" s="42">
        <v>900.0</v>
      </c>
      <c r="T120" s="44">
        <f t="shared" si="1"/>
        <v>0</v>
      </c>
      <c r="U120" s="42" t="s">
        <v>45</v>
      </c>
      <c r="V120" s="42" t="s">
        <v>46</v>
      </c>
      <c r="W120" s="42" t="s">
        <v>47</v>
      </c>
      <c r="X120" s="42" t="s">
        <v>47</v>
      </c>
      <c r="Y120" s="42" t="s">
        <v>47</v>
      </c>
      <c r="Z120" s="42" t="s">
        <v>47</v>
      </c>
      <c r="AA120" s="42" t="s">
        <v>48</v>
      </c>
      <c r="AB120" s="42" t="s">
        <v>47</v>
      </c>
      <c r="AC120" s="42" t="s">
        <v>47</v>
      </c>
      <c r="AD120" s="42" t="s">
        <v>47</v>
      </c>
      <c r="AE120" s="42" t="s">
        <v>47</v>
      </c>
      <c r="AF120" s="42" t="s">
        <v>49</v>
      </c>
      <c r="AG120" s="36"/>
      <c r="AH120" s="36"/>
      <c r="AI120" s="40"/>
      <c r="AJ120" s="40"/>
      <c r="AK120" s="40"/>
      <c r="AL120" s="40"/>
      <c r="AM120" s="40"/>
      <c r="AN120" s="40"/>
      <c r="AO120" s="40"/>
      <c r="AP120" s="40"/>
    </row>
    <row r="121" ht="15.75" customHeight="1">
      <c r="A121" s="33">
        <v>21694.0</v>
      </c>
      <c r="B121" s="33" t="s">
        <v>107</v>
      </c>
      <c r="C121" s="33" t="s">
        <v>108</v>
      </c>
      <c r="D121" s="34" t="s">
        <v>39</v>
      </c>
      <c r="E121" s="34">
        <v>0.0</v>
      </c>
      <c r="F121" s="34">
        <v>0.0</v>
      </c>
      <c r="G121" s="35">
        <v>0.0</v>
      </c>
      <c r="H121" s="35">
        <v>0.0</v>
      </c>
      <c r="I121" s="35">
        <v>0.0</v>
      </c>
      <c r="J121" s="35">
        <v>0.0</v>
      </c>
      <c r="K121" s="35">
        <v>0.0</v>
      </c>
      <c r="L121" s="35">
        <v>0.0</v>
      </c>
      <c r="M121" s="35">
        <v>0.0</v>
      </c>
      <c r="N121" s="35">
        <v>0.0</v>
      </c>
      <c r="O121" s="36"/>
      <c r="P121" s="35">
        <f t="shared" si="4"/>
        <v>0</v>
      </c>
      <c r="Q121" s="34" t="s">
        <v>40</v>
      </c>
      <c r="R121" s="36"/>
      <c r="S121" s="34">
        <v>800.0</v>
      </c>
      <c r="T121" s="37">
        <f t="shared" si="1"/>
        <v>0</v>
      </c>
      <c r="U121" s="36"/>
      <c r="V121" s="36"/>
      <c r="W121" s="38"/>
      <c r="X121" s="39"/>
      <c r="Y121" s="39"/>
      <c r="Z121" s="39"/>
      <c r="AA121" s="39"/>
      <c r="AB121" s="39"/>
      <c r="AC121" s="39"/>
      <c r="AD121" s="39"/>
      <c r="AE121" s="39"/>
      <c r="AF121" s="3"/>
      <c r="AG121" s="36"/>
      <c r="AH121" s="36"/>
      <c r="AI121" s="40"/>
      <c r="AJ121" s="40"/>
      <c r="AK121" s="40"/>
      <c r="AL121" s="40"/>
      <c r="AM121" s="40"/>
      <c r="AN121" s="40"/>
      <c r="AO121" s="40"/>
      <c r="AP121" s="40"/>
    </row>
    <row r="122" ht="15.75" customHeight="1">
      <c r="A122" s="41"/>
      <c r="B122" s="41"/>
      <c r="C122" s="41"/>
      <c r="D122" s="42" t="s">
        <v>41</v>
      </c>
      <c r="E122" s="42">
        <v>27.0</v>
      </c>
      <c r="F122" s="42">
        <v>26.0</v>
      </c>
      <c r="G122" s="43">
        <v>86.5</v>
      </c>
      <c r="H122" s="43">
        <v>89.5</v>
      </c>
      <c r="I122" s="43">
        <v>80.75</v>
      </c>
      <c r="J122" s="43">
        <v>93.0</v>
      </c>
      <c r="K122" s="43">
        <v>85.0</v>
      </c>
      <c r="L122" s="43">
        <v>64.0</v>
      </c>
      <c r="M122" s="43">
        <v>86.5</v>
      </c>
      <c r="N122" s="43">
        <v>83.5</v>
      </c>
      <c r="O122" s="41"/>
      <c r="P122" s="43">
        <f t="shared" si="4"/>
        <v>668.75</v>
      </c>
      <c r="Q122" s="42" t="s">
        <v>40</v>
      </c>
      <c r="R122" s="41"/>
      <c r="S122" s="42">
        <v>800.0</v>
      </c>
      <c r="T122" s="44">
        <f t="shared" si="1"/>
        <v>0.8359375</v>
      </c>
      <c r="U122" s="41"/>
      <c r="V122" s="41"/>
      <c r="W122" s="45"/>
      <c r="AF122" s="46"/>
      <c r="AG122" s="36"/>
      <c r="AH122" s="36"/>
      <c r="AI122" s="40"/>
      <c r="AJ122" s="40"/>
      <c r="AK122" s="40"/>
      <c r="AL122" s="40"/>
      <c r="AM122" s="40"/>
      <c r="AN122" s="40"/>
      <c r="AO122" s="40"/>
      <c r="AP122" s="40"/>
    </row>
    <row r="123" ht="15.75" customHeight="1">
      <c r="A123" s="36"/>
      <c r="B123" s="36"/>
      <c r="C123" s="36"/>
      <c r="D123" s="34" t="s">
        <v>42</v>
      </c>
      <c r="E123" s="34">
        <v>0.0</v>
      </c>
      <c r="F123" s="34">
        <v>0.0</v>
      </c>
      <c r="G123" s="35">
        <v>0.0</v>
      </c>
      <c r="H123" s="35">
        <v>0.0</v>
      </c>
      <c r="I123" s="35">
        <v>0.0</v>
      </c>
      <c r="J123" s="35">
        <v>0.0</v>
      </c>
      <c r="K123" s="35">
        <v>0.0</v>
      </c>
      <c r="L123" s="35">
        <v>0.0</v>
      </c>
      <c r="M123" s="35">
        <v>0.0</v>
      </c>
      <c r="N123" s="35">
        <v>0.0</v>
      </c>
      <c r="O123" s="36"/>
      <c r="P123" s="35">
        <f t="shared" si="4"/>
        <v>0</v>
      </c>
      <c r="Q123" s="34" t="s">
        <v>40</v>
      </c>
      <c r="R123" s="36"/>
      <c r="S123" s="34">
        <v>800.0</v>
      </c>
      <c r="T123" s="37">
        <f t="shared" si="1"/>
        <v>0</v>
      </c>
      <c r="U123" s="36"/>
      <c r="V123" s="36"/>
      <c r="W123" s="6"/>
      <c r="X123" s="47"/>
      <c r="Y123" s="47"/>
      <c r="Z123" s="47"/>
      <c r="AA123" s="47"/>
      <c r="AB123" s="47"/>
      <c r="AC123" s="47"/>
      <c r="AD123" s="47"/>
      <c r="AE123" s="47"/>
      <c r="AF123" s="7"/>
      <c r="AG123" s="36"/>
      <c r="AH123" s="36"/>
      <c r="AI123" s="40"/>
      <c r="AJ123" s="40"/>
      <c r="AK123" s="40"/>
      <c r="AL123" s="40"/>
      <c r="AM123" s="40"/>
      <c r="AN123" s="40"/>
      <c r="AO123" s="40"/>
      <c r="AP123" s="40"/>
    </row>
    <row r="124" ht="15.75" customHeight="1">
      <c r="A124" s="41"/>
      <c r="B124" s="41"/>
      <c r="C124" s="41"/>
      <c r="D124" s="42" t="s">
        <v>43</v>
      </c>
      <c r="E124" s="42">
        <v>0.0</v>
      </c>
      <c r="F124" s="42">
        <v>0.0</v>
      </c>
      <c r="G124" s="43">
        <v>0.0</v>
      </c>
      <c r="H124" s="43">
        <v>0.0</v>
      </c>
      <c r="I124" s="43">
        <v>0.0</v>
      </c>
      <c r="J124" s="43">
        <v>0.0</v>
      </c>
      <c r="K124" s="43">
        <v>0.0</v>
      </c>
      <c r="L124" s="43">
        <v>0.0</v>
      </c>
      <c r="M124" s="43">
        <v>0.0</v>
      </c>
      <c r="N124" s="43">
        <v>0.0</v>
      </c>
      <c r="O124" s="42">
        <v>0.0</v>
      </c>
      <c r="P124" s="43">
        <f t="shared" si="4"/>
        <v>0</v>
      </c>
      <c r="Q124" s="42" t="s">
        <v>40</v>
      </c>
      <c r="R124" s="42" t="s">
        <v>44</v>
      </c>
      <c r="S124" s="42">
        <v>900.0</v>
      </c>
      <c r="T124" s="44">
        <f t="shared" si="1"/>
        <v>0</v>
      </c>
      <c r="U124" s="42" t="s">
        <v>45</v>
      </c>
      <c r="V124" s="42" t="s">
        <v>46</v>
      </c>
      <c r="W124" s="42" t="s">
        <v>47</v>
      </c>
      <c r="X124" s="42" t="s">
        <v>47</v>
      </c>
      <c r="Y124" s="42" t="s">
        <v>47</v>
      </c>
      <c r="Z124" s="42" t="s">
        <v>47</v>
      </c>
      <c r="AA124" s="42" t="s">
        <v>48</v>
      </c>
      <c r="AB124" s="42" t="s">
        <v>47</v>
      </c>
      <c r="AC124" s="42" t="s">
        <v>47</v>
      </c>
      <c r="AD124" s="42" t="s">
        <v>47</v>
      </c>
      <c r="AE124" s="42" t="s">
        <v>47</v>
      </c>
      <c r="AF124" s="42" t="s">
        <v>49</v>
      </c>
      <c r="AG124" s="36"/>
      <c r="AH124" s="36"/>
      <c r="AI124" s="40"/>
      <c r="AJ124" s="40"/>
      <c r="AK124" s="40"/>
      <c r="AL124" s="40"/>
      <c r="AM124" s="40"/>
      <c r="AN124" s="40"/>
      <c r="AO124" s="40"/>
      <c r="AP124" s="40"/>
    </row>
    <row r="125" ht="15.75" customHeight="1">
      <c r="A125" s="33">
        <v>21699.0</v>
      </c>
      <c r="B125" s="33" t="s">
        <v>109</v>
      </c>
      <c r="C125" s="33" t="s">
        <v>110</v>
      </c>
      <c r="D125" s="34" t="s">
        <v>39</v>
      </c>
      <c r="E125" s="34">
        <v>0.0</v>
      </c>
      <c r="F125" s="34">
        <v>0.0</v>
      </c>
      <c r="G125" s="35">
        <v>0.0</v>
      </c>
      <c r="H125" s="35">
        <v>0.0</v>
      </c>
      <c r="I125" s="35">
        <v>0.0</v>
      </c>
      <c r="J125" s="35">
        <v>0.0</v>
      </c>
      <c r="K125" s="35">
        <v>0.0</v>
      </c>
      <c r="L125" s="35">
        <v>0.0</v>
      </c>
      <c r="M125" s="35">
        <v>0.0</v>
      </c>
      <c r="N125" s="35">
        <v>0.0</v>
      </c>
      <c r="O125" s="36"/>
      <c r="P125" s="35">
        <f t="shared" si="4"/>
        <v>0</v>
      </c>
      <c r="Q125" s="34" t="s">
        <v>40</v>
      </c>
      <c r="R125" s="36"/>
      <c r="S125" s="34">
        <v>800.0</v>
      </c>
      <c r="T125" s="37">
        <f t="shared" si="1"/>
        <v>0</v>
      </c>
      <c r="U125" s="36"/>
      <c r="V125" s="36"/>
      <c r="W125" s="38"/>
      <c r="X125" s="39"/>
      <c r="Y125" s="39"/>
      <c r="Z125" s="39"/>
      <c r="AA125" s="39"/>
      <c r="AB125" s="39"/>
      <c r="AC125" s="39"/>
      <c r="AD125" s="39"/>
      <c r="AE125" s="39"/>
      <c r="AF125" s="3"/>
      <c r="AG125" s="36"/>
      <c r="AH125" s="36"/>
      <c r="AI125" s="40"/>
      <c r="AJ125" s="40"/>
      <c r="AK125" s="40"/>
      <c r="AL125" s="40"/>
      <c r="AM125" s="40"/>
      <c r="AN125" s="40"/>
      <c r="AO125" s="40"/>
      <c r="AP125" s="40"/>
    </row>
    <row r="126" ht="15.75" customHeight="1">
      <c r="A126" s="41"/>
      <c r="B126" s="41"/>
      <c r="C126" s="41"/>
      <c r="D126" s="42" t="s">
        <v>41</v>
      </c>
      <c r="E126" s="42">
        <v>27.0</v>
      </c>
      <c r="F126" s="42">
        <v>27.0</v>
      </c>
      <c r="G126" s="43">
        <v>94.5</v>
      </c>
      <c r="H126" s="43">
        <v>85.0</v>
      </c>
      <c r="I126" s="43">
        <v>76.0</v>
      </c>
      <c r="J126" s="43">
        <v>93.5</v>
      </c>
      <c r="K126" s="43">
        <v>95.0</v>
      </c>
      <c r="L126" s="43">
        <v>79.0</v>
      </c>
      <c r="M126" s="43">
        <v>92.5</v>
      </c>
      <c r="N126" s="43">
        <v>73.0</v>
      </c>
      <c r="O126" s="41"/>
      <c r="P126" s="43">
        <f t="shared" si="4"/>
        <v>688.5</v>
      </c>
      <c r="Q126" s="42" t="s">
        <v>40</v>
      </c>
      <c r="R126" s="41"/>
      <c r="S126" s="42">
        <v>800.0</v>
      </c>
      <c r="T126" s="44">
        <f t="shared" si="1"/>
        <v>0.860625</v>
      </c>
      <c r="U126" s="41"/>
      <c r="V126" s="41"/>
      <c r="W126" s="45"/>
      <c r="AF126" s="46"/>
      <c r="AG126" s="36"/>
      <c r="AH126" s="36"/>
      <c r="AI126" s="40"/>
      <c r="AJ126" s="40"/>
      <c r="AK126" s="40"/>
      <c r="AL126" s="40"/>
      <c r="AM126" s="40"/>
      <c r="AN126" s="40"/>
      <c r="AO126" s="40"/>
      <c r="AP126" s="40"/>
    </row>
    <row r="127" ht="15.75" customHeight="1">
      <c r="A127" s="36"/>
      <c r="B127" s="36"/>
      <c r="C127" s="36"/>
      <c r="D127" s="34" t="s">
        <v>42</v>
      </c>
      <c r="E127" s="34">
        <v>0.0</v>
      </c>
      <c r="F127" s="34">
        <v>0.0</v>
      </c>
      <c r="G127" s="35">
        <v>0.0</v>
      </c>
      <c r="H127" s="35">
        <v>0.0</v>
      </c>
      <c r="I127" s="35">
        <v>0.0</v>
      </c>
      <c r="J127" s="35">
        <v>0.0</v>
      </c>
      <c r="K127" s="35">
        <v>0.0</v>
      </c>
      <c r="L127" s="35">
        <v>0.0</v>
      </c>
      <c r="M127" s="35">
        <v>0.0</v>
      </c>
      <c r="N127" s="35">
        <v>0.0</v>
      </c>
      <c r="O127" s="36"/>
      <c r="P127" s="35">
        <f t="shared" si="4"/>
        <v>0</v>
      </c>
      <c r="Q127" s="34" t="s">
        <v>40</v>
      </c>
      <c r="R127" s="36"/>
      <c r="S127" s="34">
        <v>800.0</v>
      </c>
      <c r="T127" s="37">
        <f t="shared" si="1"/>
        <v>0</v>
      </c>
      <c r="U127" s="36"/>
      <c r="V127" s="36"/>
      <c r="W127" s="6"/>
      <c r="X127" s="47"/>
      <c r="Y127" s="47"/>
      <c r="Z127" s="47"/>
      <c r="AA127" s="47"/>
      <c r="AB127" s="47"/>
      <c r="AC127" s="47"/>
      <c r="AD127" s="47"/>
      <c r="AE127" s="47"/>
      <c r="AF127" s="7"/>
      <c r="AG127" s="36"/>
      <c r="AH127" s="36"/>
      <c r="AI127" s="40"/>
      <c r="AJ127" s="40"/>
      <c r="AK127" s="40"/>
      <c r="AL127" s="40"/>
      <c r="AM127" s="40"/>
      <c r="AN127" s="40"/>
      <c r="AO127" s="40"/>
      <c r="AP127" s="40"/>
    </row>
    <row r="128" ht="15.75" customHeight="1">
      <c r="A128" s="41"/>
      <c r="B128" s="41"/>
      <c r="C128" s="41"/>
      <c r="D128" s="42" t="s">
        <v>43</v>
      </c>
      <c r="E128" s="42">
        <v>0.0</v>
      </c>
      <c r="F128" s="42">
        <v>0.0</v>
      </c>
      <c r="G128" s="43">
        <v>0.0</v>
      </c>
      <c r="H128" s="43">
        <v>0.0</v>
      </c>
      <c r="I128" s="43">
        <v>0.0</v>
      </c>
      <c r="J128" s="43">
        <v>0.0</v>
      </c>
      <c r="K128" s="43">
        <v>0.0</v>
      </c>
      <c r="L128" s="43">
        <v>0.0</v>
      </c>
      <c r="M128" s="43">
        <v>0.0</v>
      </c>
      <c r="N128" s="43">
        <v>0.0</v>
      </c>
      <c r="O128" s="42">
        <v>0.0</v>
      </c>
      <c r="P128" s="43">
        <f t="shared" si="4"/>
        <v>0</v>
      </c>
      <c r="Q128" s="42" t="s">
        <v>40</v>
      </c>
      <c r="R128" s="42" t="s">
        <v>44</v>
      </c>
      <c r="S128" s="42">
        <v>900.0</v>
      </c>
      <c r="T128" s="44">
        <f t="shared" si="1"/>
        <v>0</v>
      </c>
      <c r="U128" s="42" t="s">
        <v>45</v>
      </c>
      <c r="V128" s="42" t="s">
        <v>46</v>
      </c>
      <c r="W128" s="42" t="s">
        <v>47</v>
      </c>
      <c r="X128" s="42" t="s">
        <v>47</v>
      </c>
      <c r="Y128" s="42" t="s">
        <v>47</v>
      </c>
      <c r="Z128" s="42" t="s">
        <v>47</v>
      </c>
      <c r="AA128" s="42" t="s">
        <v>48</v>
      </c>
      <c r="AB128" s="42" t="s">
        <v>47</v>
      </c>
      <c r="AC128" s="42" t="s">
        <v>47</v>
      </c>
      <c r="AD128" s="42" t="s">
        <v>47</v>
      </c>
      <c r="AE128" s="42" t="s">
        <v>47</v>
      </c>
      <c r="AF128" s="42" t="s">
        <v>49</v>
      </c>
      <c r="AG128" s="36"/>
      <c r="AH128" s="36"/>
      <c r="AI128" s="40"/>
      <c r="AJ128" s="40"/>
      <c r="AK128" s="40"/>
      <c r="AL128" s="40"/>
      <c r="AM128" s="40"/>
      <c r="AN128" s="40"/>
      <c r="AO128" s="40"/>
      <c r="AP128" s="40"/>
    </row>
    <row r="129" ht="15.75" customHeight="1">
      <c r="A129" s="33">
        <v>21701.0</v>
      </c>
      <c r="B129" s="33" t="s">
        <v>111</v>
      </c>
      <c r="C129" s="33" t="s">
        <v>112</v>
      </c>
      <c r="D129" s="34" t="s">
        <v>39</v>
      </c>
      <c r="E129" s="34">
        <v>0.0</v>
      </c>
      <c r="F129" s="34">
        <v>0.0</v>
      </c>
      <c r="G129" s="35">
        <v>0.0</v>
      </c>
      <c r="H129" s="35">
        <v>0.0</v>
      </c>
      <c r="I129" s="35">
        <v>0.0</v>
      </c>
      <c r="J129" s="35">
        <v>0.0</v>
      </c>
      <c r="K129" s="35">
        <v>0.0</v>
      </c>
      <c r="L129" s="35">
        <v>0.0</v>
      </c>
      <c r="M129" s="35">
        <v>0.0</v>
      </c>
      <c r="N129" s="35">
        <v>0.0</v>
      </c>
      <c r="O129" s="36"/>
      <c r="P129" s="35">
        <f t="shared" si="4"/>
        <v>0</v>
      </c>
      <c r="Q129" s="34" t="s">
        <v>40</v>
      </c>
      <c r="R129" s="36"/>
      <c r="S129" s="34">
        <v>800.0</v>
      </c>
      <c r="T129" s="37">
        <f t="shared" si="1"/>
        <v>0</v>
      </c>
      <c r="U129" s="36"/>
      <c r="V129" s="36"/>
      <c r="W129" s="38"/>
      <c r="X129" s="39"/>
      <c r="Y129" s="39"/>
      <c r="Z129" s="39"/>
      <c r="AA129" s="39"/>
      <c r="AB129" s="39"/>
      <c r="AC129" s="39"/>
      <c r="AD129" s="39"/>
      <c r="AE129" s="39"/>
      <c r="AF129" s="3"/>
      <c r="AG129" s="36"/>
      <c r="AH129" s="36"/>
      <c r="AI129" s="40"/>
      <c r="AJ129" s="40"/>
      <c r="AK129" s="40"/>
      <c r="AL129" s="40"/>
      <c r="AM129" s="40"/>
      <c r="AN129" s="40"/>
      <c r="AO129" s="40"/>
      <c r="AP129" s="40"/>
    </row>
    <row r="130" ht="15.75" customHeight="1">
      <c r="A130" s="41"/>
      <c r="B130" s="41"/>
      <c r="C130" s="41"/>
      <c r="D130" s="42" t="s">
        <v>41</v>
      </c>
      <c r="E130" s="42">
        <v>27.0</v>
      </c>
      <c r="F130" s="42">
        <v>24.0</v>
      </c>
      <c r="G130" s="43">
        <v>67.0</v>
      </c>
      <c r="H130" s="43">
        <v>78.5</v>
      </c>
      <c r="I130" s="43">
        <v>50.5</v>
      </c>
      <c r="J130" s="43">
        <v>71.5</v>
      </c>
      <c r="K130" s="43">
        <v>24.5</v>
      </c>
      <c r="L130" s="43">
        <v>33.0</v>
      </c>
      <c r="M130" s="43">
        <v>50.0</v>
      </c>
      <c r="N130" s="43">
        <v>41.0</v>
      </c>
      <c r="O130" s="41"/>
      <c r="P130" s="43">
        <f t="shared" si="4"/>
        <v>416</v>
      </c>
      <c r="Q130" s="42" t="s">
        <v>88</v>
      </c>
      <c r="R130" s="41"/>
      <c r="S130" s="42">
        <v>800.0</v>
      </c>
      <c r="T130" s="44">
        <f t="shared" si="1"/>
        <v>0.52</v>
      </c>
      <c r="U130" s="41"/>
      <c r="V130" s="41"/>
      <c r="W130" s="45"/>
      <c r="AF130" s="46"/>
      <c r="AG130" s="36"/>
      <c r="AH130" s="36"/>
      <c r="AI130" s="40"/>
      <c r="AJ130" s="40"/>
      <c r="AK130" s="40"/>
      <c r="AL130" s="40"/>
      <c r="AM130" s="40"/>
      <c r="AN130" s="40"/>
      <c r="AO130" s="40"/>
      <c r="AP130" s="40"/>
    </row>
    <row r="131" ht="15.75" customHeight="1">
      <c r="A131" s="36"/>
      <c r="B131" s="36"/>
      <c r="C131" s="36"/>
      <c r="D131" s="34" t="s">
        <v>42</v>
      </c>
      <c r="E131" s="34">
        <v>0.0</v>
      </c>
      <c r="F131" s="34">
        <v>0.0</v>
      </c>
      <c r="G131" s="35">
        <v>0.0</v>
      </c>
      <c r="H131" s="35">
        <v>0.0</v>
      </c>
      <c r="I131" s="35">
        <v>0.0</v>
      </c>
      <c r="J131" s="35">
        <v>0.0</v>
      </c>
      <c r="K131" s="35">
        <v>0.0</v>
      </c>
      <c r="L131" s="35">
        <v>0.0</v>
      </c>
      <c r="M131" s="35">
        <v>0.0</v>
      </c>
      <c r="N131" s="35">
        <v>0.0</v>
      </c>
      <c r="O131" s="36"/>
      <c r="P131" s="35">
        <f t="shared" si="4"/>
        <v>0</v>
      </c>
      <c r="Q131" s="34" t="s">
        <v>40</v>
      </c>
      <c r="R131" s="36"/>
      <c r="S131" s="34">
        <v>800.0</v>
      </c>
      <c r="T131" s="37">
        <f t="shared" si="1"/>
        <v>0</v>
      </c>
      <c r="U131" s="36"/>
      <c r="V131" s="36"/>
      <c r="W131" s="6"/>
      <c r="X131" s="47"/>
      <c r="Y131" s="47"/>
      <c r="Z131" s="47"/>
      <c r="AA131" s="47"/>
      <c r="AB131" s="47"/>
      <c r="AC131" s="47"/>
      <c r="AD131" s="47"/>
      <c r="AE131" s="47"/>
      <c r="AF131" s="7"/>
      <c r="AG131" s="36"/>
      <c r="AH131" s="36"/>
      <c r="AI131" s="40"/>
      <c r="AJ131" s="40"/>
      <c r="AK131" s="40"/>
      <c r="AL131" s="40"/>
      <c r="AM131" s="40"/>
      <c r="AN131" s="40"/>
      <c r="AO131" s="40"/>
      <c r="AP131" s="40"/>
    </row>
    <row r="132" ht="15.75" customHeight="1">
      <c r="A132" s="41"/>
      <c r="B132" s="41"/>
      <c r="C132" s="41"/>
      <c r="D132" s="42" t="s">
        <v>43</v>
      </c>
      <c r="E132" s="42">
        <v>0.0</v>
      </c>
      <c r="F132" s="42">
        <v>0.0</v>
      </c>
      <c r="G132" s="43">
        <v>0.0</v>
      </c>
      <c r="H132" s="43">
        <v>0.0</v>
      </c>
      <c r="I132" s="43">
        <v>0.0</v>
      </c>
      <c r="J132" s="43">
        <v>0.0</v>
      </c>
      <c r="K132" s="43">
        <v>0.0</v>
      </c>
      <c r="L132" s="43">
        <v>0.0</v>
      </c>
      <c r="M132" s="43">
        <v>0.0</v>
      </c>
      <c r="N132" s="43">
        <v>0.0</v>
      </c>
      <c r="O132" s="42">
        <v>0.0</v>
      </c>
      <c r="P132" s="43">
        <f t="shared" si="4"/>
        <v>0</v>
      </c>
      <c r="Q132" s="42" t="s">
        <v>40</v>
      </c>
      <c r="R132" s="42" t="s">
        <v>44</v>
      </c>
      <c r="S132" s="42">
        <v>900.0</v>
      </c>
      <c r="T132" s="44">
        <f t="shared" si="1"/>
        <v>0</v>
      </c>
      <c r="U132" s="42" t="s">
        <v>45</v>
      </c>
      <c r="V132" s="42" t="s">
        <v>46</v>
      </c>
      <c r="W132" s="42" t="s">
        <v>47</v>
      </c>
      <c r="X132" s="42" t="s">
        <v>47</v>
      </c>
      <c r="Y132" s="42" t="s">
        <v>47</v>
      </c>
      <c r="Z132" s="42" t="s">
        <v>47</v>
      </c>
      <c r="AA132" s="42" t="s">
        <v>48</v>
      </c>
      <c r="AB132" s="42" t="s">
        <v>47</v>
      </c>
      <c r="AC132" s="42" t="s">
        <v>47</v>
      </c>
      <c r="AD132" s="42" t="s">
        <v>47</v>
      </c>
      <c r="AE132" s="42" t="s">
        <v>47</v>
      </c>
      <c r="AF132" s="42" t="s">
        <v>49</v>
      </c>
      <c r="AG132" s="36"/>
      <c r="AH132" s="36"/>
      <c r="AI132" s="40"/>
      <c r="AJ132" s="40"/>
      <c r="AK132" s="40"/>
      <c r="AL132" s="40"/>
      <c r="AM132" s="40"/>
      <c r="AN132" s="40"/>
      <c r="AO132" s="40"/>
      <c r="AP132" s="40"/>
    </row>
    <row r="133" ht="15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50"/>
      <c r="T133" s="50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31"/>
      <c r="AH133" s="31"/>
      <c r="AI133" s="1"/>
      <c r="AJ133" s="1"/>
      <c r="AK133" s="1"/>
      <c r="AL133" s="1"/>
      <c r="AM133" s="1"/>
      <c r="AN133" s="1"/>
      <c r="AO133" s="1"/>
      <c r="AP133" s="1"/>
    </row>
    <row r="134" ht="15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50"/>
      <c r="T134" s="50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31"/>
      <c r="AH134" s="31"/>
      <c r="AI134" s="1"/>
      <c r="AJ134" s="1"/>
      <c r="AK134" s="1"/>
      <c r="AL134" s="1"/>
      <c r="AM134" s="1"/>
      <c r="AN134" s="1"/>
      <c r="AO134" s="1"/>
      <c r="AP134" s="1"/>
    </row>
    <row r="135" ht="15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50"/>
      <c r="T135" s="50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31"/>
      <c r="AH135" s="31"/>
      <c r="AI135" s="1"/>
      <c r="AJ135" s="1"/>
      <c r="AK135" s="1"/>
      <c r="AL135" s="1"/>
      <c r="AM135" s="1"/>
      <c r="AN135" s="1"/>
      <c r="AO135" s="1"/>
      <c r="AP135" s="1"/>
    </row>
    <row r="136" ht="15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50"/>
      <c r="T136" s="50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31"/>
      <c r="AH136" s="31"/>
      <c r="AI136" s="1"/>
      <c r="AJ136" s="1"/>
      <c r="AK136" s="1"/>
      <c r="AL136" s="1"/>
      <c r="AM136" s="1"/>
      <c r="AN136" s="1"/>
      <c r="AO136" s="1"/>
      <c r="AP136" s="1"/>
    </row>
    <row r="137" ht="15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50"/>
      <c r="T137" s="50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31"/>
      <c r="AH137" s="31"/>
      <c r="AI137" s="1"/>
      <c r="AJ137" s="1"/>
      <c r="AK137" s="1"/>
      <c r="AL137" s="1"/>
      <c r="AM137" s="1"/>
      <c r="AN137" s="1"/>
      <c r="AO137" s="1"/>
      <c r="AP137" s="1"/>
    </row>
    <row r="138" ht="15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50"/>
      <c r="T138" s="50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31"/>
      <c r="AH138" s="31"/>
      <c r="AI138" s="1"/>
      <c r="AJ138" s="1"/>
      <c r="AK138" s="1"/>
      <c r="AL138" s="1"/>
      <c r="AM138" s="1"/>
      <c r="AN138" s="1"/>
      <c r="AO138" s="1"/>
      <c r="AP138" s="1"/>
    </row>
    <row r="139" ht="15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50"/>
      <c r="T139" s="50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31"/>
      <c r="AH139" s="31"/>
      <c r="AI139" s="1"/>
      <c r="AJ139" s="1"/>
      <c r="AK139" s="1"/>
      <c r="AL139" s="1"/>
      <c r="AM139" s="1"/>
      <c r="AN139" s="1"/>
      <c r="AO139" s="1"/>
      <c r="AP139" s="1"/>
    </row>
    <row r="140" ht="15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50"/>
      <c r="T140" s="50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31"/>
      <c r="AH140" s="31"/>
      <c r="AI140" s="1"/>
      <c r="AJ140" s="1"/>
      <c r="AK140" s="1"/>
      <c r="AL140" s="1"/>
      <c r="AM140" s="1"/>
      <c r="AN140" s="1"/>
      <c r="AO140" s="1"/>
      <c r="AP140" s="1"/>
    </row>
    <row r="141" ht="15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50"/>
      <c r="T141" s="50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31"/>
      <c r="AH141" s="31"/>
      <c r="AI141" s="1"/>
      <c r="AJ141" s="1"/>
      <c r="AK141" s="1"/>
      <c r="AL141" s="1"/>
      <c r="AM141" s="1"/>
      <c r="AN141" s="1"/>
      <c r="AO141" s="1"/>
      <c r="AP141" s="1"/>
    </row>
    <row r="142" ht="15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50"/>
      <c r="T142" s="50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31"/>
      <c r="AH142" s="31"/>
      <c r="AI142" s="1"/>
      <c r="AJ142" s="1"/>
      <c r="AK142" s="1"/>
      <c r="AL142" s="1"/>
      <c r="AM142" s="1"/>
      <c r="AN142" s="1"/>
      <c r="AO142" s="1"/>
      <c r="AP142" s="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51"/>
      <c r="T143" s="5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1"/>
      <c r="AJ143" s="1"/>
      <c r="AK143" s="1"/>
      <c r="AL143" s="1"/>
      <c r="AM143" s="1"/>
      <c r="AN143" s="1"/>
      <c r="AO143" s="1"/>
      <c r="AP143" s="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51"/>
      <c r="T144" s="5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1"/>
      <c r="AJ144" s="1"/>
      <c r="AK144" s="1"/>
      <c r="AL144" s="1"/>
      <c r="AM144" s="1"/>
      <c r="AN144" s="1"/>
      <c r="AO144" s="1"/>
      <c r="AP144" s="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51"/>
      <c r="T145" s="5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1"/>
      <c r="AJ145" s="1"/>
      <c r="AK145" s="1"/>
      <c r="AL145" s="1"/>
      <c r="AM145" s="1"/>
      <c r="AN145" s="1"/>
      <c r="AO145" s="1"/>
      <c r="AP145" s="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51"/>
      <c r="T146" s="5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1"/>
      <c r="AJ146" s="1"/>
      <c r="AK146" s="1"/>
      <c r="AL146" s="1"/>
      <c r="AM146" s="1"/>
      <c r="AN146" s="1"/>
      <c r="AO146" s="1"/>
      <c r="AP146" s="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51"/>
      <c r="T147" s="5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1"/>
      <c r="AJ147" s="1"/>
      <c r="AK147" s="1"/>
      <c r="AL147" s="1"/>
      <c r="AM147" s="1"/>
      <c r="AN147" s="1"/>
      <c r="AO147" s="1"/>
      <c r="AP147" s="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51"/>
      <c r="T148" s="5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1"/>
      <c r="AJ148" s="1"/>
      <c r="AK148" s="1"/>
      <c r="AL148" s="1"/>
      <c r="AM148" s="1"/>
      <c r="AN148" s="1"/>
      <c r="AO148" s="1"/>
      <c r="AP148" s="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51"/>
      <c r="T149" s="5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1"/>
      <c r="AJ149" s="1"/>
      <c r="AK149" s="1"/>
      <c r="AL149" s="1"/>
      <c r="AM149" s="1"/>
      <c r="AN149" s="1"/>
      <c r="AO149" s="1"/>
      <c r="AP149" s="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51"/>
      <c r="T150" s="5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1"/>
      <c r="AJ150" s="1"/>
      <c r="AK150" s="1"/>
      <c r="AL150" s="1"/>
      <c r="AM150" s="1"/>
      <c r="AN150" s="1"/>
      <c r="AO150" s="1"/>
      <c r="AP150" s="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51"/>
      <c r="T151" s="5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1"/>
      <c r="AJ151" s="1"/>
      <c r="AK151" s="1"/>
      <c r="AL151" s="1"/>
      <c r="AM151" s="1"/>
      <c r="AN151" s="1"/>
      <c r="AO151" s="1"/>
      <c r="AP151" s="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51"/>
      <c r="T152" s="5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1"/>
      <c r="AJ152" s="1"/>
      <c r="AK152" s="1"/>
      <c r="AL152" s="1"/>
      <c r="AM152" s="1"/>
      <c r="AN152" s="1"/>
      <c r="AO152" s="1"/>
      <c r="AP152" s="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51"/>
      <c r="T153" s="5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1"/>
      <c r="AJ153" s="1"/>
      <c r="AK153" s="1"/>
      <c r="AL153" s="1"/>
      <c r="AM153" s="1"/>
      <c r="AN153" s="1"/>
      <c r="AO153" s="1"/>
      <c r="AP153" s="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51"/>
      <c r="T154" s="5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1"/>
      <c r="AJ154" s="1"/>
      <c r="AK154" s="1"/>
      <c r="AL154" s="1"/>
      <c r="AM154" s="1"/>
      <c r="AN154" s="1"/>
      <c r="AO154" s="1"/>
      <c r="AP154" s="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51"/>
      <c r="T155" s="5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1"/>
      <c r="AJ155" s="1"/>
      <c r="AK155" s="1"/>
      <c r="AL155" s="1"/>
      <c r="AM155" s="1"/>
      <c r="AN155" s="1"/>
      <c r="AO155" s="1"/>
      <c r="AP155" s="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51"/>
      <c r="T156" s="5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1"/>
      <c r="AJ156" s="1"/>
      <c r="AK156" s="1"/>
      <c r="AL156" s="1"/>
      <c r="AM156" s="1"/>
      <c r="AN156" s="1"/>
      <c r="AO156" s="1"/>
      <c r="AP156" s="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51"/>
      <c r="T157" s="5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1"/>
      <c r="AJ157" s="1"/>
      <c r="AK157" s="1"/>
      <c r="AL157" s="1"/>
      <c r="AM157" s="1"/>
      <c r="AN157" s="1"/>
      <c r="AO157" s="1"/>
      <c r="AP157" s="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51"/>
      <c r="T158" s="5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1"/>
      <c r="AJ158" s="1"/>
      <c r="AK158" s="1"/>
      <c r="AL158" s="1"/>
      <c r="AM158" s="1"/>
      <c r="AN158" s="1"/>
      <c r="AO158" s="1"/>
      <c r="AP158" s="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51"/>
      <c r="T159" s="5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1"/>
      <c r="AJ159" s="1"/>
      <c r="AK159" s="1"/>
      <c r="AL159" s="1"/>
      <c r="AM159" s="1"/>
      <c r="AN159" s="1"/>
      <c r="AO159" s="1"/>
      <c r="AP159" s="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51"/>
      <c r="T160" s="5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1"/>
      <c r="AJ160" s="1"/>
      <c r="AK160" s="1"/>
      <c r="AL160" s="1"/>
      <c r="AM160" s="1"/>
      <c r="AN160" s="1"/>
      <c r="AO160" s="1"/>
      <c r="AP160" s="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51"/>
      <c r="T161" s="5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1"/>
      <c r="AJ161" s="1"/>
      <c r="AK161" s="1"/>
      <c r="AL161" s="1"/>
      <c r="AM161" s="1"/>
      <c r="AN161" s="1"/>
      <c r="AO161" s="1"/>
      <c r="AP161" s="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51"/>
      <c r="T162" s="5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1"/>
      <c r="AJ162" s="1"/>
      <c r="AK162" s="1"/>
      <c r="AL162" s="1"/>
      <c r="AM162" s="1"/>
      <c r="AN162" s="1"/>
      <c r="AO162" s="1"/>
      <c r="AP162" s="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51"/>
      <c r="T163" s="5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1"/>
      <c r="AJ163" s="1"/>
      <c r="AK163" s="1"/>
      <c r="AL163" s="1"/>
      <c r="AM163" s="1"/>
      <c r="AN163" s="1"/>
      <c r="AO163" s="1"/>
      <c r="AP163" s="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51"/>
      <c r="T164" s="5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1"/>
      <c r="AJ164" s="1"/>
      <c r="AK164" s="1"/>
      <c r="AL164" s="1"/>
      <c r="AM164" s="1"/>
      <c r="AN164" s="1"/>
      <c r="AO164" s="1"/>
      <c r="AP164" s="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51"/>
      <c r="T165" s="5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1"/>
      <c r="AJ165" s="1"/>
      <c r="AK165" s="1"/>
      <c r="AL165" s="1"/>
      <c r="AM165" s="1"/>
      <c r="AN165" s="1"/>
      <c r="AO165" s="1"/>
      <c r="AP165" s="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51"/>
      <c r="T166" s="5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1"/>
      <c r="AJ166" s="1"/>
      <c r="AK166" s="1"/>
      <c r="AL166" s="1"/>
      <c r="AM166" s="1"/>
      <c r="AN166" s="1"/>
      <c r="AO166" s="1"/>
      <c r="AP166" s="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51"/>
      <c r="T167" s="5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1"/>
      <c r="AJ167" s="1"/>
      <c r="AK167" s="1"/>
      <c r="AL167" s="1"/>
      <c r="AM167" s="1"/>
      <c r="AN167" s="1"/>
      <c r="AO167" s="1"/>
      <c r="AP167" s="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51"/>
      <c r="T168" s="5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1"/>
      <c r="AJ168" s="1"/>
      <c r="AK168" s="1"/>
      <c r="AL168" s="1"/>
      <c r="AM168" s="1"/>
      <c r="AN168" s="1"/>
      <c r="AO168" s="1"/>
      <c r="AP168" s="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51"/>
      <c r="T169" s="5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1"/>
      <c r="AJ169" s="1"/>
      <c r="AK169" s="1"/>
      <c r="AL169" s="1"/>
      <c r="AM169" s="1"/>
      <c r="AN169" s="1"/>
      <c r="AO169" s="1"/>
      <c r="AP169" s="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51"/>
      <c r="T170" s="5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1"/>
      <c r="AJ170" s="1"/>
      <c r="AK170" s="1"/>
      <c r="AL170" s="1"/>
      <c r="AM170" s="1"/>
      <c r="AN170" s="1"/>
      <c r="AO170" s="1"/>
      <c r="AP170" s="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51"/>
      <c r="T171" s="5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1"/>
      <c r="AJ171" s="1"/>
      <c r="AK171" s="1"/>
      <c r="AL171" s="1"/>
      <c r="AM171" s="1"/>
      <c r="AN171" s="1"/>
      <c r="AO171" s="1"/>
      <c r="AP171" s="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51"/>
      <c r="T172" s="5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1"/>
      <c r="AJ172" s="1"/>
      <c r="AK172" s="1"/>
      <c r="AL172" s="1"/>
      <c r="AM172" s="1"/>
      <c r="AN172" s="1"/>
      <c r="AO172" s="1"/>
      <c r="AP172" s="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51"/>
      <c r="T173" s="5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1"/>
      <c r="AJ173" s="1"/>
      <c r="AK173" s="1"/>
      <c r="AL173" s="1"/>
      <c r="AM173" s="1"/>
      <c r="AN173" s="1"/>
      <c r="AO173" s="1"/>
      <c r="AP173" s="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51"/>
      <c r="T174" s="5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1"/>
      <c r="AJ174" s="1"/>
      <c r="AK174" s="1"/>
      <c r="AL174" s="1"/>
      <c r="AM174" s="1"/>
      <c r="AN174" s="1"/>
      <c r="AO174" s="1"/>
      <c r="AP174" s="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51"/>
      <c r="T175" s="5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1"/>
      <c r="AJ175" s="1"/>
      <c r="AK175" s="1"/>
      <c r="AL175" s="1"/>
      <c r="AM175" s="1"/>
      <c r="AN175" s="1"/>
      <c r="AO175" s="1"/>
      <c r="AP175" s="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51"/>
      <c r="T176" s="5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1"/>
      <c r="AJ176" s="1"/>
      <c r="AK176" s="1"/>
      <c r="AL176" s="1"/>
      <c r="AM176" s="1"/>
      <c r="AN176" s="1"/>
      <c r="AO176" s="1"/>
      <c r="AP176" s="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51"/>
      <c r="T177" s="5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1"/>
      <c r="AJ177" s="1"/>
      <c r="AK177" s="1"/>
      <c r="AL177" s="1"/>
      <c r="AM177" s="1"/>
      <c r="AN177" s="1"/>
      <c r="AO177" s="1"/>
      <c r="AP177" s="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51"/>
      <c r="T178" s="5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1"/>
      <c r="AJ178" s="1"/>
      <c r="AK178" s="1"/>
      <c r="AL178" s="1"/>
      <c r="AM178" s="1"/>
      <c r="AN178" s="1"/>
      <c r="AO178" s="1"/>
      <c r="AP178" s="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51"/>
      <c r="T179" s="5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1"/>
      <c r="AJ179" s="1"/>
      <c r="AK179" s="1"/>
      <c r="AL179" s="1"/>
      <c r="AM179" s="1"/>
      <c r="AN179" s="1"/>
      <c r="AO179" s="1"/>
      <c r="AP179" s="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51"/>
      <c r="T180" s="5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1"/>
      <c r="AJ180" s="1"/>
      <c r="AK180" s="1"/>
      <c r="AL180" s="1"/>
      <c r="AM180" s="1"/>
      <c r="AN180" s="1"/>
      <c r="AO180" s="1"/>
      <c r="AP180" s="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51"/>
      <c r="T181" s="5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1"/>
      <c r="AJ181" s="1"/>
      <c r="AK181" s="1"/>
      <c r="AL181" s="1"/>
      <c r="AM181" s="1"/>
      <c r="AN181" s="1"/>
      <c r="AO181" s="1"/>
      <c r="AP181" s="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51"/>
      <c r="T182" s="5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1"/>
      <c r="AJ182" s="1"/>
      <c r="AK182" s="1"/>
      <c r="AL182" s="1"/>
      <c r="AM182" s="1"/>
      <c r="AN182" s="1"/>
      <c r="AO182" s="1"/>
      <c r="AP182" s="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51"/>
      <c r="T183" s="5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1"/>
      <c r="AJ183" s="1"/>
      <c r="AK183" s="1"/>
      <c r="AL183" s="1"/>
      <c r="AM183" s="1"/>
      <c r="AN183" s="1"/>
      <c r="AO183" s="1"/>
      <c r="AP183" s="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51"/>
      <c r="T184" s="5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1"/>
      <c r="AJ184" s="1"/>
      <c r="AK184" s="1"/>
      <c r="AL184" s="1"/>
      <c r="AM184" s="1"/>
      <c r="AN184" s="1"/>
      <c r="AO184" s="1"/>
      <c r="AP184" s="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51"/>
      <c r="T185" s="5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1"/>
      <c r="AJ185" s="1"/>
      <c r="AK185" s="1"/>
      <c r="AL185" s="1"/>
      <c r="AM185" s="1"/>
      <c r="AN185" s="1"/>
      <c r="AO185" s="1"/>
      <c r="AP185" s="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51"/>
      <c r="T186" s="5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1"/>
      <c r="AJ186" s="1"/>
      <c r="AK186" s="1"/>
      <c r="AL186" s="1"/>
      <c r="AM186" s="1"/>
      <c r="AN186" s="1"/>
      <c r="AO186" s="1"/>
      <c r="AP186" s="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51"/>
      <c r="T187" s="5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1"/>
      <c r="AJ187" s="1"/>
      <c r="AK187" s="1"/>
      <c r="AL187" s="1"/>
      <c r="AM187" s="1"/>
      <c r="AN187" s="1"/>
      <c r="AO187" s="1"/>
      <c r="AP187" s="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51"/>
      <c r="T188" s="5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1"/>
      <c r="AJ188" s="1"/>
      <c r="AK188" s="1"/>
      <c r="AL188" s="1"/>
      <c r="AM188" s="1"/>
      <c r="AN188" s="1"/>
      <c r="AO188" s="1"/>
      <c r="AP188" s="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51"/>
      <c r="T189" s="5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1"/>
      <c r="AJ189" s="1"/>
      <c r="AK189" s="1"/>
      <c r="AL189" s="1"/>
      <c r="AM189" s="1"/>
      <c r="AN189" s="1"/>
      <c r="AO189" s="1"/>
      <c r="AP189" s="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51"/>
      <c r="T190" s="5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1"/>
      <c r="AJ190" s="1"/>
      <c r="AK190" s="1"/>
      <c r="AL190" s="1"/>
      <c r="AM190" s="1"/>
      <c r="AN190" s="1"/>
      <c r="AO190" s="1"/>
      <c r="AP190" s="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51"/>
      <c r="T191" s="5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1"/>
      <c r="AJ191" s="1"/>
      <c r="AK191" s="1"/>
      <c r="AL191" s="1"/>
      <c r="AM191" s="1"/>
      <c r="AN191" s="1"/>
      <c r="AO191" s="1"/>
      <c r="AP191" s="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51"/>
      <c r="T192" s="5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1"/>
      <c r="AJ192" s="1"/>
      <c r="AK192" s="1"/>
      <c r="AL192" s="1"/>
      <c r="AM192" s="1"/>
      <c r="AN192" s="1"/>
      <c r="AO192" s="1"/>
      <c r="AP192" s="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51"/>
      <c r="T193" s="5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1"/>
      <c r="AJ193" s="1"/>
      <c r="AK193" s="1"/>
      <c r="AL193" s="1"/>
      <c r="AM193" s="1"/>
      <c r="AN193" s="1"/>
      <c r="AO193" s="1"/>
      <c r="AP193" s="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51"/>
      <c r="T194" s="5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1"/>
      <c r="AJ194" s="1"/>
      <c r="AK194" s="1"/>
      <c r="AL194" s="1"/>
      <c r="AM194" s="1"/>
      <c r="AN194" s="1"/>
      <c r="AO194" s="1"/>
      <c r="AP194" s="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51"/>
      <c r="T195" s="5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1"/>
      <c r="AJ195" s="1"/>
      <c r="AK195" s="1"/>
      <c r="AL195" s="1"/>
      <c r="AM195" s="1"/>
      <c r="AN195" s="1"/>
      <c r="AO195" s="1"/>
      <c r="AP195" s="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51"/>
      <c r="T196" s="5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1"/>
      <c r="AJ196" s="1"/>
      <c r="AK196" s="1"/>
      <c r="AL196" s="1"/>
      <c r="AM196" s="1"/>
      <c r="AN196" s="1"/>
      <c r="AO196" s="1"/>
      <c r="AP196" s="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51"/>
      <c r="T197" s="5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1"/>
      <c r="AJ197" s="1"/>
      <c r="AK197" s="1"/>
      <c r="AL197" s="1"/>
      <c r="AM197" s="1"/>
      <c r="AN197" s="1"/>
      <c r="AO197" s="1"/>
      <c r="AP197" s="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51"/>
      <c r="T198" s="5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1"/>
      <c r="AJ198" s="1"/>
      <c r="AK198" s="1"/>
      <c r="AL198" s="1"/>
      <c r="AM198" s="1"/>
      <c r="AN198" s="1"/>
      <c r="AO198" s="1"/>
      <c r="AP198" s="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51"/>
      <c r="T199" s="5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1"/>
      <c r="AJ199" s="1"/>
      <c r="AK199" s="1"/>
      <c r="AL199" s="1"/>
      <c r="AM199" s="1"/>
      <c r="AN199" s="1"/>
      <c r="AO199" s="1"/>
      <c r="AP199" s="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51"/>
      <c r="T200" s="5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1"/>
      <c r="AJ200" s="1"/>
      <c r="AK200" s="1"/>
      <c r="AL200" s="1"/>
      <c r="AM200" s="1"/>
      <c r="AN200" s="1"/>
      <c r="AO200" s="1"/>
      <c r="AP200" s="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51"/>
      <c r="T201" s="5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1"/>
      <c r="AJ201" s="1"/>
      <c r="AK201" s="1"/>
      <c r="AL201" s="1"/>
      <c r="AM201" s="1"/>
      <c r="AN201" s="1"/>
      <c r="AO201" s="1"/>
      <c r="AP201" s="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51"/>
      <c r="T202" s="5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1"/>
      <c r="AJ202" s="1"/>
      <c r="AK202" s="1"/>
      <c r="AL202" s="1"/>
      <c r="AM202" s="1"/>
      <c r="AN202" s="1"/>
      <c r="AO202" s="1"/>
      <c r="AP202" s="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51"/>
      <c r="T203" s="5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1"/>
      <c r="AJ203" s="1"/>
      <c r="AK203" s="1"/>
      <c r="AL203" s="1"/>
      <c r="AM203" s="1"/>
      <c r="AN203" s="1"/>
      <c r="AO203" s="1"/>
      <c r="AP203" s="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51"/>
      <c r="T204" s="5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1"/>
      <c r="AJ204" s="1"/>
      <c r="AK204" s="1"/>
      <c r="AL204" s="1"/>
      <c r="AM204" s="1"/>
      <c r="AN204" s="1"/>
      <c r="AO204" s="1"/>
      <c r="AP204" s="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51"/>
      <c r="T205" s="5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1"/>
      <c r="AJ205" s="1"/>
      <c r="AK205" s="1"/>
      <c r="AL205" s="1"/>
      <c r="AM205" s="1"/>
      <c r="AN205" s="1"/>
      <c r="AO205" s="1"/>
      <c r="AP205" s="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51"/>
      <c r="T206" s="5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1"/>
      <c r="AJ206" s="1"/>
      <c r="AK206" s="1"/>
      <c r="AL206" s="1"/>
      <c r="AM206" s="1"/>
      <c r="AN206" s="1"/>
      <c r="AO206" s="1"/>
      <c r="AP206" s="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51"/>
      <c r="T207" s="5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1"/>
      <c r="AJ207" s="1"/>
      <c r="AK207" s="1"/>
      <c r="AL207" s="1"/>
      <c r="AM207" s="1"/>
      <c r="AN207" s="1"/>
      <c r="AO207" s="1"/>
      <c r="AP207" s="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51"/>
      <c r="T208" s="5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1"/>
      <c r="AJ208" s="1"/>
      <c r="AK208" s="1"/>
      <c r="AL208" s="1"/>
      <c r="AM208" s="1"/>
      <c r="AN208" s="1"/>
      <c r="AO208" s="1"/>
      <c r="AP208" s="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51"/>
      <c r="T209" s="5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1"/>
      <c r="AJ209" s="1"/>
      <c r="AK209" s="1"/>
      <c r="AL209" s="1"/>
      <c r="AM209" s="1"/>
      <c r="AN209" s="1"/>
      <c r="AO209" s="1"/>
      <c r="AP209" s="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51"/>
      <c r="T210" s="5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1"/>
      <c r="AJ210" s="1"/>
      <c r="AK210" s="1"/>
      <c r="AL210" s="1"/>
      <c r="AM210" s="1"/>
      <c r="AN210" s="1"/>
      <c r="AO210" s="1"/>
      <c r="AP210" s="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51"/>
      <c r="T211" s="5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1"/>
      <c r="AJ211" s="1"/>
      <c r="AK211" s="1"/>
      <c r="AL211" s="1"/>
      <c r="AM211" s="1"/>
      <c r="AN211" s="1"/>
      <c r="AO211" s="1"/>
      <c r="AP211" s="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51"/>
      <c r="T212" s="5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1"/>
      <c r="AJ212" s="1"/>
      <c r="AK212" s="1"/>
      <c r="AL212" s="1"/>
      <c r="AM212" s="1"/>
      <c r="AN212" s="1"/>
      <c r="AO212" s="1"/>
      <c r="AP212" s="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51"/>
      <c r="T213" s="5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1"/>
      <c r="AJ213" s="1"/>
      <c r="AK213" s="1"/>
      <c r="AL213" s="1"/>
      <c r="AM213" s="1"/>
      <c r="AN213" s="1"/>
      <c r="AO213" s="1"/>
      <c r="AP213" s="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51"/>
      <c r="T214" s="5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1"/>
      <c r="AJ214" s="1"/>
      <c r="AK214" s="1"/>
      <c r="AL214" s="1"/>
      <c r="AM214" s="1"/>
      <c r="AN214" s="1"/>
      <c r="AO214" s="1"/>
      <c r="AP214" s="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51"/>
      <c r="T215" s="5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1"/>
      <c r="AJ215" s="1"/>
      <c r="AK215" s="1"/>
      <c r="AL215" s="1"/>
      <c r="AM215" s="1"/>
      <c r="AN215" s="1"/>
      <c r="AO215" s="1"/>
      <c r="AP215" s="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51"/>
      <c r="T216" s="5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1"/>
      <c r="AJ216" s="1"/>
      <c r="AK216" s="1"/>
      <c r="AL216" s="1"/>
      <c r="AM216" s="1"/>
      <c r="AN216" s="1"/>
      <c r="AO216" s="1"/>
      <c r="AP216" s="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51"/>
      <c r="T217" s="5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1"/>
      <c r="AJ217" s="1"/>
      <c r="AK217" s="1"/>
      <c r="AL217" s="1"/>
      <c r="AM217" s="1"/>
      <c r="AN217" s="1"/>
      <c r="AO217" s="1"/>
      <c r="AP217" s="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51"/>
      <c r="T218" s="5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1"/>
      <c r="AJ218" s="1"/>
      <c r="AK218" s="1"/>
      <c r="AL218" s="1"/>
      <c r="AM218" s="1"/>
      <c r="AN218" s="1"/>
      <c r="AO218" s="1"/>
      <c r="AP218" s="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51"/>
      <c r="T219" s="5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1"/>
      <c r="AJ219" s="1"/>
      <c r="AK219" s="1"/>
      <c r="AL219" s="1"/>
      <c r="AM219" s="1"/>
      <c r="AN219" s="1"/>
      <c r="AO219" s="1"/>
      <c r="AP219" s="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51"/>
      <c r="T220" s="5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1"/>
      <c r="AJ220" s="1"/>
      <c r="AK220" s="1"/>
      <c r="AL220" s="1"/>
      <c r="AM220" s="1"/>
      <c r="AN220" s="1"/>
      <c r="AO220" s="1"/>
      <c r="AP220" s="1"/>
    </row>
    <row r="221" ht="15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51"/>
      <c r="T221" s="5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1"/>
      <c r="AJ221" s="1"/>
      <c r="AK221" s="1"/>
      <c r="AL221" s="1"/>
      <c r="AM221" s="1"/>
      <c r="AN221" s="1"/>
      <c r="AO221" s="1"/>
      <c r="AP221" s="1"/>
    </row>
    <row r="222" ht="15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51"/>
      <c r="T222" s="5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1"/>
      <c r="AJ222" s="1"/>
      <c r="AK222" s="1"/>
      <c r="AL222" s="1"/>
      <c r="AM222" s="1"/>
      <c r="AN222" s="1"/>
      <c r="AO222" s="1"/>
      <c r="AP222" s="1"/>
    </row>
    <row r="223" ht="15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51"/>
      <c r="T223" s="5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1"/>
      <c r="AJ223" s="1"/>
      <c r="AK223" s="1"/>
      <c r="AL223" s="1"/>
      <c r="AM223" s="1"/>
      <c r="AN223" s="1"/>
      <c r="AO223" s="1"/>
      <c r="AP223" s="1"/>
    </row>
    <row r="224" ht="15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51"/>
      <c r="T224" s="5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1"/>
      <c r="AJ224" s="1"/>
      <c r="AK224" s="1"/>
      <c r="AL224" s="1"/>
      <c r="AM224" s="1"/>
      <c r="AN224" s="1"/>
      <c r="AO224" s="1"/>
      <c r="AP224" s="1"/>
    </row>
    <row r="225" ht="15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51"/>
      <c r="T225" s="5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1"/>
      <c r="AJ225" s="1"/>
      <c r="AK225" s="1"/>
      <c r="AL225" s="1"/>
      <c r="AM225" s="1"/>
      <c r="AN225" s="1"/>
      <c r="AO225" s="1"/>
      <c r="AP225" s="1"/>
    </row>
    <row r="226" ht="15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51"/>
      <c r="T226" s="5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1"/>
      <c r="AJ226" s="1"/>
      <c r="AK226" s="1"/>
      <c r="AL226" s="1"/>
      <c r="AM226" s="1"/>
      <c r="AN226" s="1"/>
      <c r="AO226" s="1"/>
      <c r="AP226" s="1"/>
    </row>
    <row r="227" ht="15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51"/>
      <c r="T227" s="5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1"/>
      <c r="AJ227" s="1"/>
      <c r="AK227" s="1"/>
      <c r="AL227" s="1"/>
      <c r="AM227" s="1"/>
      <c r="AN227" s="1"/>
      <c r="AO227" s="1"/>
      <c r="AP227" s="1"/>
    </row>
    <row r="228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51"/>
      <c r="T228" s="5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1"/>
      <c r="AJ228" s="1"/>
      <c r="AK228" s="1"/>
      <c r="AL228" s="1"/>
      <c r="AM228" s="1"/>
      <c r="AN228" s="1"/>
      <c r="AO228" s="1"/>
      <c r="AP228" s="1"/>
    </row>
    <row r="229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51"/>
      <c r="T229" s="5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1"/>
      <c r="AJ229" s="1"/>
      <c r="AK229" s="1"/>
      <c r="AL229" s="1"/>
      <c r="AM229" s="1"/>
      <c r="AN229" s="1"/>
      <c r="AO229" s="1"/>
      <c r="AP229" s="1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51"/>
      <c r="T230" s="5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1"/>
      <c r="AJ230" s="1"/>
      <c r="AK230" s="1"/>
      <c r="AL230" s="1"/>
      <c r="AM230" s="1"/>
      <c r="AN230" s="1"/>
      <c r="AO230" s="1"/>
      <c r="AP230" s="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51"/>
      <c r="T231" s="5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1"/>
      <c r="AJ231" s="1"/>
      <c r="AK231" s="1"/>
      <c r="AL231" s="1"/>
      <c r="AM231" s="1"/>
      <c r="AN231" s="1"/>
      <c r="AO231" s="1"/>
      <c r="AP231" s="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51"/>
      <c r="T232" s="5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1"/>
      <c r="AJ232" s="1"/>
      <c r="AK232" s="1"/>
      <c r="AL232" s="1"/>
      <c r="AM232" s="1"/>
      <c r="AN232" s="1"/>
      <c r="AO232" s="1"/>
      <c r="AP232" s="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51"/>
      <c r="T233" s="5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1"/>
      <c r="AJ233" s="1"/>
      <c r="AK233" s="1"/>
      <c r="AL233" s="1"/>
      <c r="AM233" s="1"/>
      <c r="AN233" s="1"/>
      <c r="AO233" s="1"/>
      <c r="AP233" s="1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51"/>
      <c r="T234" s="5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1"/>
      <c r="AJ234" s="1"/>
      <c r="AK234" s="1"/>
      <c r="AL234" s="1"/>
      <c r="AM234" s="1"/>
      <c r="AN234" s="1"/>
      <c r="AO234" s="1"/>
      <c r="AP234" s="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51"/>
      <c r="T235" s="5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1"/>
      <c r="AJ235" s="1"/>
      <c r="AK235" s="1"/>
      <c r="AL235" s="1"/>
      <c r="AM235" s="1"/>
      <c r="AN235" s="1"/>
      <c r="AO235" s="1"/>
      <c r="AP235" s="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51"/>
      <c r="T236" s="5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1"/>
      <c r="AJ236" s="1"/>
      <c r="AK236" s="1"/>
      <c r="AL236" s="1"/>
      <c r="AM236" s="1"/>
      <c r="AN236" s="1"/>
      <c r="AO236" s="1"/>
      <c r="AP236" s="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51"/>
      <c r="T237" s="5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1"/>
      <c r="AJ237" s="1"/>
      <c r="AK237" s="1"/>
      <c r="AL237" s="1"/>
      <c r="AM237" s="1"/>
      <c r="AN237" s="1"/>
      <c r="AO237" s="1"/>
      <c r="AP237" s="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51"/>
      <c r="T238" s="5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1"/>
      <c r="AJ238" s="1"/>
      <c r="AK238" s="1"/>
      <c r="AL238" s="1"/>
      <c r="AM238" s="1"/>
      <c r="AN238" s="1"/>
      <c r="AO238" s="1"/>
      <c r="AP238" s="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51"/>
      <c r="T239" s="5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1"/>
      <c r="AJ239" s="1"/>
      <c r="AK239" s="1"/>
      <c r="AL239" s="1"/>
      <c r="AM239" s="1"/>
      <c r="AN239" s="1"/>
      <c r="AO239" s="1"/>
      <c r="AP239" s="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51"/>
      <c r="T240" s="5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1"/>
      <c r="AJ240" s="1"/>
      <c r="AK240" s="1"/>
      <c r="AL240" s="1"/>
      <c r="AM240" s="1"/>
      <c r="AN240" s="1"/>
      <c r="AO240" s="1"/>
      <c r="AP240" s="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51"/>
      <c r="T241" s="5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1"/>
      <c r="AJ241" s="1"/>
      <c r="AK241" s="1"/>
      <c r="AL241" s="1"/>
      <c r="AM241" s="1"/>
      <c r="AN241" s="1"/>
      <c r="AO241" s="1"/>
      <c r="AP241" s="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51"/>
      <c r="T242" s="5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1"/>
      <c r="AJ242" s="1"/>
      <c r="AK242" s="1"/>
      <c r="AL242" s="1"/>
      <c r="AM242" s="1"/>
      <c r="AN242" s="1"/>
      <c r="AO242" s="1"/>
      <c r="AP242" s="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51"/>
      <c r="T243" s="5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1"/>
      <c r="AJ243" s="1"/>
      <c r="AK243" s="1"/>
      <c r="AL243" s="1"/>
      <c r="AM243" s="1"/>
      <c r="AN243" s="1"/>
      <c r="AO243" s="1"/>
      <c r="AP243" s="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51"/>
      <c r="T244" s="5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1"/>
      <c r="AJ244" s="1"/>
      <c r="AK244" s="1"/>
      <c r="AL244" s="1"/>
      <c r="AM244" s="1"/>
      <c r="AN244" s="1"/>
      <c r="AO244" s="1"/>
      <c r="AP244" s="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51"/>
      <c r="T245" s="5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1"/>
      <c r="AJ245" s="1"/>
      <c r="AK245" s="1"/>
      <c r="AL245" s="1"/>
      <c r="AM245" s="1"/>
      <c r="AN245" s="1"/>
      <c r="AO245" s="1"/>
      <c r="AP245" s="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51"/>
      <c r="T246" s="5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1"/>
      <c r="AJ246" s="1"/>
      <c r="AK246" s="1"/>
      <c r="AL246" s="1"/>
      <c r="AM246" s="1"/>
      <c r="AN246" s="1"/>
      <c r="AO246" s="1"/>
      <c r="AP246" s="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51"/>
      <c r="T247" s="5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1"/>
      <c r="AJ247" s="1"/>
      <c r="AK247" s="1"/>
      <c r="AL247" s="1"/>
      <c r="AM247" s="1"/>
      <c r="AN247" s="1"/>
      <c r="AO247" s="1"/>
      <c r="AP247" s="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51"/>
      <c r="T248" s="5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1"/>
      <c r="AJ248" s="1"/>
      <c r="AK248" s="1"/>
      <c r="AL248" s="1"/>
      <c r="AM248" s="1"/>
      <c r="AN248" s="1"/>
      <c r="AO248" s="1"/>
      <c r="AP248" s="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51"/>
      <c r="T249" s="5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1"/>
      <c r="AJ249" s="1"/>
      <c r="AK249" s="1"/>
      <c r="AL249" s="1"/>
      <c r="AM249" s="1"/>
      <c r="AN249" s="1"/>
      <c r="AO249" s="1"/>
      <c r="AP249" s="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51"/>
      <c r="T250" s="5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1"/>
      <c r="AJ250" s="1"/>
      <c r="AK250" s="1"/>
      <c r="AL250" s="1"/>
      <c r="AM250" s="1"/>
      <c r="AN250" s="1"/>
      <c r="AO250" s="1"/>
      <c r="AP250" s="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51"/>
      <c r="T251" s="5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1"/>
      <c r="AJ251" s="1"/>
      <c r="AK251" s="1"/>
      <c r="AL251" s="1"/>
      <c r="AM251" s="1"/>
      <c r="AN251" s="1"/>
      <c r="AO251" s="1"/>
      <c r="AP251" s="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51"/>
      <c r="T252" s="5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1"/>
      <c r="AJ252" s="1"/>
      <c r="AK252" s="1"/>
      <c r="AL252" s="1"/>
      <c r="AM252" s="1"/>
      <c r="AN252" s="1"/>
      <c r="AO252" s="1"/>
      <c r="AP252" s="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51"/>
      <c r="T253" s="5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1"/>
      <c r="AJ253" s="1"/>
      <c r="AK253" s="1"/>
      <c r="AL253" s="1"/>
      <c r="AM253" s="1"/>
      <c r="AN253" s="1"/>
      <c r="AO253" s="1"/>
      <c r="AP253" s="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51"/>
      <c r="T254" s="5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1"/>
      <c r="AJ254" s="1"/>
      <c r="AK254" s="1"/>
      <c r="AL254" s="1"/>
      <c r="AM254" s="1"/>
      <c r="AN254" s="1"/>
      <c r="AO254" s="1"/>
      <c r="AP254" s="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51"/>
      <c r="T255" s="5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1"/>
      <c r="AJ255" s="1"/>
      <c r="AK255" s="1"/>
      <c r="AL255" s="1"/>
      <c r="AM255" s="1"/>
      <c r="AN255" s="1"/>
      <c r="AO255" s="1"/>
      <c r="AP255" s="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51"/>
      <c r="T256" s="5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1"/>
      <c r="AJ256" s="1"/>
      <c r="AK256" s="1"/>
      <c r="AL256" s="1"/>
      <c r="AM256" s="1"/>
      <c r="AN256" s="1"/>
      <c r="AO256" s="1"/>
      <c r="AP256" s="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51"/>
      <c r="T257" s="5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1"/>
      <c r="AJ257" s="1"/>
      <c r="AK257" s="1"/>
      <c r="AL257" s="1"/>
      <c r="AM257" s="1"/>
      <c r="AN257" s="1"/>
      <c r="AO257" s="1"/>
      <c r="AP257" s="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51"/>
      <c r="T258" s="5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1"/>
      <c r="AJ258" s="1"/>
      <c r="AK258" s="1"/>
      <c r="AL258" s="1"/>
      <c r="AM258" s="1"/>
      <c r="AN258" s="1"/>
      <c r="AO258" s="1"/>
      <c r="AP258" s="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51"/>
      <c r="T259" s="5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1"/>
      <c r="AJ259" s="1"/>
      <c r="AK259" s="1"/>
      <c r="AL259" s="1"/>
      <c r="AM259" s="1"/>
      <c r="AN259" s="1"/>
      <c r="AO259" s="1"/>
      <c r="AP259" s="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51"/>
      <c r="T260" s="5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1"/>
      <c r="AJ260" s="1"/>
      <c r="AK260" s="1"/>
      <c r="AL260" s="1"/>
      <c r="AM260" s="1"/>
      <c r="AN260" s="1"/>
      <c r="AO260" s="1"/>
      <c r="AP260" s="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51"/>
      <c r="T261" s="5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1"/>
      <c r="AJ261" s="1"/>
      <c r="AK261" s="1"/>
      <c r="AL261" s="1"/>
      <c r="AM261" s="1"/>
      <c r="AN261" s="1"/>
      <c r="AO261" s="1"/>
      <c r="AP261" s="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51"/>
      <c r="T262" s="5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1"/>
      <c r="AJ262" s="1"/>
      <c r="AK262" s="1"/>
      <c r="AL262" s="1"/>
      <c r="AM262" s="1"/>
      <c r="AN262" s="1"/>
      <c r="AO262" s="1"/>
      <c r="AP262" s="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51"/>
      <c r="T263" s="5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1"/>
      <c r="AJ263" s="1"/>
      <c r="AK263" s="1"/>
      <c r="AL263" s="1"/>
      <c r="AM263" s="1"/>
      <c r="AN263" s="1"/>
      <c r="AO263" s="1"/>
      <c r="AP263" s="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51"/>
      <c r="T264" s="5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1"/>
      <c r="AJ264" s="1"/>
      <c r="AK264" s="1"/>
      <c r="AL264" s="1"/>
      <c r="AM264" s="1"/>
      <c r="AN264" s="1"/>
      <c r="AO264" s="1"/>
      <c r="AP264" s="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51"/>
      <c r="T265" s="5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1"/>
      <c r="AJ265" s="1"/>
      <c r="AK265" s="1"/>
      <c r="AL265" s="1"/>
      <c r="AM265" s="1"/>
      <c r="AN265" s="1"/>
      <c r="AO265" s="1"/>
      <c r="AP265" s="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51"/>
      <c r="T266" s="5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1"/>
      <c r="AJ266" s="1"/>
      <c r="AK266" s="1"/>
      <c r="AL266" s="1"/>
      <c r="AM266" s="1"/>
      <c r="AN266" s="1"/>
      <c r="AO266" s="1"/>
      <c r="AP266" s="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51"/>
      <c r="T267" s="5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1"/>
      <c r="AJ267" s="1"/>
      <c r="AK267" s="1"/>
      <c r="AL267" s="1"/>
      <c r="AM267" s="1"/>
      <c r="AN267" s="1"/>
      <c r="AO267" s="1"/>
      <c r="AP267" s="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51"/>
      <c r="T268" s="5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1"/>
      <c r="AJ268" s="1"/>
      <c r="AK268" s="1"/>
      <c r="AL268" s="1"/>
      <c r="AM268" s="1"/>
      <c r="AN268" s="1"/>
      <c r="AO268" s="1"/>
      <c r="AP268" s="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51"/>
      <c r="T269" s="5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1"/>
      <c r="AJ269" s="1"/>
      <c r="AK269" s="1"/>
      <c r="AL269" s="1"/>
      <c r="AM269" s="1"/>
      <c r="AN269" s="1"/>
      <c r="AO269" s="1"/>
      <c r="AP269" s="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51"/>
      <c r="T270" s="5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1"/>
      <c r="AJ270" s="1"/>
      <c r="AK270" s="1"/>
      <c r="AL270" s="1"/>
      <c r="AM270" s="1"/>
      <c r="AN270" s="1"/>
      <c r="AO270" s="1"/>
      <c r="AP270" s="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51"/>
      <c r="T271" s="5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1"/>
      <c r="AJ271" s="1"/>
      <c r="AK271" s="1"/>
      <c r="AL271" s="1"/>
      <c r="AM271" s="1"/>
      <c r="AN271" s="1"/>
      <c r="AO271" s="1"/>
      <c r="AP271" s="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51"/>
      <c r="T272" s="5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1"/>
      <c r="AJ272" s="1"/>
      <c r="AK272" s="1"/>
      <c r="AL272" s="1"/>
      <c r="AM272" s="1"/>
      <c r="AN272" s="1"/>
      <c r="AO272" s="1"/>
      <c r="AP272" s="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51"/>
      <c r="T273" s="5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1"/>
      <c r="AJ273" s="1"/>
      <c r="AK273" s="1"/>
      <c r="AL273" s="1"/>
      <c r="AM273" s="1"/>
      <c r="AN273" s="1"/>
      <c r="AO273" s="1"/>
      <c r="AP273" s="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51"/>
      <c r="T274" s="5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1"/>
      <c r="AJ274" s="1"/>
      <c r="AK274" s="1"/>
      <c r="AL274" s="1"/>
      <c r="AM274" s="1"/>
      <c r="AN274" s="1"/>
      <c r="AO274" s="1"/>
      <c r="AP274" s="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51"/>
      <c r="T275" s="5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1"/>
      <c r="AJ275" s="1"/>
      <c r="AK275" s="1"/>
      <c r="AL275" s="1"/>
      <c r="AM275" s="1"/>
      <c r="AN275" s="1"/>
      <c r="AO275" s="1"/>
      <c r="AP275" s="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51"/>
      <c r="T276" s="5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1"/>
      <c r="AJ276" s="1"/>
      <c r="AK276" s="1"/>
      <c r="AL276" s="1"/>
      <c r="AM276" s="1"/>
      <c r="AN276" s="1"/>
      <c r="AO276" s="1"/>
      <c r="AP276" s="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51"/>
      <c r="T277" s="5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1"/>
      <c r="AJ277" s="1"/>
      <c r="AK277" s="1"/>
      <c r="AL277" s="1"/>
      <c r="AM277" s="1"/>
      <c r="AN277" s="1"/>
      <c r="AO277" s="1"/>
      <c r="AP277" s="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51"/>
      <c r="T278" s="5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1"/>
      <c r="AJ278" s="1"/>
      <c r="AK278" s="1"/>
      <c r="AL278" s="1"/>
      <c r="AM278" s="1"/>
      <c r="AN278" s="1"/>
      <c r="AO278" s="1"/>
      <c r="AP278" s="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51"/>
      <c r="T279" s="5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1"/>
      <c r="AJ279" s="1"/>
      <c r="AK279" s="1"/>
      <c r="AL279" s="1"/>
      <c r="AM279" s="1"/>
      <c r="AN279" s="1"/>
      <c r="AO279" s="1"/>
      <c r="AP279" s="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51"/>
      <c r="T280" s="5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1"/>
      <c r="AJ280" s="1"/>
      <c r="AK280" s="1"/>
      <c r="AL280" s="1"/>
      <c r="AM280" s="1"/>
      <c r="AN280" s="1"/>
      <c r="AO280" s="1"/>
      <c r="AP280" s="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51"/>
      <c r="T281" s="5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1"/>
      <c r="AJ281" s="1"/>
      <c r="AK281" s="1"/>
      <c r="AL281" s="1"/>
      <c r="AM281" s="1"/>
      <c r="AN281" s="1"/>
      <c r="AO281" s="1"/>
      <c r="AP281" s="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51"/>
      <c r="T282" s="5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1"/>
      <c r="AJ282" s="1"/>
      <c r="AK282" s="1"/>
      <c r="AL282" s="1"/>
      <c r="AM282" s="1"/>
      <c r="AN282" s="1"/>
      <c r="AO282" s="1"/>
      <c r="AP282" s="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51"/>
      <c r="T283" s="5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1"/>
      <c r="AJ283" s="1"/>
      <c r="AK283" s="1"/>
      <c r="AL283" s="1"/>
      <c r="AM283" s="1"/>
      <c r="AN283" s="1"/>
      <c r="AO283" s="1"/>
      <c r="AP283" s="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51"/>
      <c r="T284" s="5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1"/>
      <c r="AJ284" s="1"/>
      <c r="AK284" s="1"/>
      <c r="AL284" s="1"/>
      <c r="AM284" s="1"/>
      <c r="AN284" s="1"/>
      <c r="AO284" s="1"/>
      <c r="AP284" s="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51"/>
      <c r="T285" s="5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1"/>
      <c r="AJ285" s="1"/>
      <c r="AK285" s="1"/>
      <c r="AL285" s="1"/>
      <c r="AM285" s="1"/>
      <c r="AN285" s="1"/>
      <c r="AO285" s="1"/>
      <c r="AP285" s="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51"/>
      <c r="T286" s="5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1"/>
      <c r="AJ286" s="1"/>
      <c r="AK286" s="1"/>
      <c r="AL286" s="1"/>
      <c r="AM286" s="1"/>
      <c r="AN286" s="1"/>
      <c r="AO286" s="1"/>
      <c r="AP286" s="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51"/>
      <c r="T287" s="5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1"/>
      <c r="AJ287" s="1"/>
      <c r="AK287" s="1"/>
      <c r="AL287" s="1"/>
      <c r="AM287" s="1"/>
      <c r="AN287" s="1"/>
      <c r="AO287" s="1"/>
      <c r="AP287" s="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51"/>
      <c r="T288" s="5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1"/>
      <c r="AJ288" s="1"/>
      <c r="AK288" s="1"/>
      <c r="AL288" s="1"/>
      <c r="AM288" s="1"/>
      <c r="AN288" s="1"/>
      <c r="AO288" s="1"/>
      <c r="AP288" s="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51"/>
      <c r="T289" s="5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1"/>
      <c r="AJ289" s="1"/>
      <c r="AK289" s="1"/>
      <c r="AL289" s="1"/>
      <c r="AM289" s="1"/>
      <c r="AN289" s="1"/>
      <c r="AO289" s="1"/>
      <c r="AP289" s="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51"/>
      <c r="T290" s="5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1"/>
      <c r="AJ290" s="1"/>
      <c r="AK290" s="1"/>
      <c r="AL290" s="1"/>
      <c r="AM290" s="1"/>
      <c r="AN290" s="1"/>
      <c r="AO290" s="1"/>
      <c r="AP290" s="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51"/>
      <c r="T291" s="5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1"/>
      <c r="AJ291" s="1"/>
      <c r="AK291" s="1"/>
      <c r="AL291" s="1"/>
      <c r="AM291" s="1"/>
      <c r="AN291" s="1"/>
      <c r="AO291" s="1"/>
      <c r="AP291" s="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51"/>
      <c r="T292" s="5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1"/>
      <c r="AJ292" s="1"/>
      <c r="AK292" s="1"/>
      <c r="AL292" s="1"/>
      <c r="AM292" s="1"/>
      <c r="AN292" s="1"/>
      <c r="AO292" s="1"/>
      <c r="AP292" s="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51"/>
      <c r="T293" s="5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1"/>
      <c r="AJ293" s="1"/>
      <c r="AK293" s="1"/>
      <c r="AL293" s="1"/>
      <c r="AM293" s="1"/>
      <c r="AN293" s="1"/>
      <c r="AO293" s="1"/>
      <c r="AP293" s="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51"/>
      <c r="T294" s="5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1"/>
      <c r="AJ294" s="1"/>
      <c r="AK294" s="1"/>
      <c r="AL294" s="1"/>
      <c r="AM294" s="1"/>
      <c r="AN294" s="1"/>
      <c r="AO294" s="1"/>
      <c r="AP294" s="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51"/>
      <c r="T295" s="5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1"/>
      <c r="AJ295" s="1"/>
      <c r="AK295" s="1"/>
      <c r="AL295" s="1"/>
      <c r="AM295" s="1"/>
      <c r="AN295" s="1"/>
      <c r="AO295" s="1"/>
      <c r="AP295" s="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51"/>
      <c r="T296" s="5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1"/>
      <c r="AJ296" s="1"/>
      <c r="AK296" s="1"/>
      <c r="AL296" s="1"/>
      <c r="AM296" s="1"/>
      <c r="AN296" s="1"/>
      <c r="AO296" s="1"/>
      <c r="AP296" s="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51"/>
      <c r="T297" s="5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1"/>
      <c r="AJ297" s="1"/>
      <c r="AK297" s="1"/>
      <c r="AL297" s="1"/>
      <c r="AM297" s="1"/>
      <c r="AN297" s="1"/>
      <c r="AO297" s="1"/>
      <c r="AP297" s="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51"/>
      <c r="T298" s="5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1"/>
      <c r="AJ298" s="1"/>
      <c r="AK298" s="1"/>
      <c r="AL298" s="1"/>
      <c r="AM298" s="1"/>
      <c r="AN298" s="1"/>
      <c r="AO298" s="1"/>
      <c r="AP298" s="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51"/>
      <c r="T299" s="5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1"/>
      <c r="AJ299" s="1"/>
      <c r="AK299" s="1"/>
      <c r="AL299" s="1"/>
      <c r="AM299" s="1"/>
      <c r="AN299" s="1"/>
      <c r="AO299" s="1"/>
      <c r="AP299" s="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51"/>
      <c r="T300" s="5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1"/>
      <c r="AJ300" s="1"/>
      <c r="AK300" s="1"/>
      <c r="AL300" s="1"/>
      <c r="AM300" s="1"/>
      <c r="AN300" s="1"/>
      <c r="AO300" s="1"/>
      <c r="AP300" s="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51"/>
      <c r="T301" s="5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1"/>
      <c r="AJ301" s="1"/>
      <c r="AK301" s="1"/>
      <c r="AL301" s="1"/>
      <c r="AM301" s="1"/>
      <c r="AN301" s="1"/>
      <c r="AO301" s="1"/>
      <c r="AP301" s="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51"/>
      <c r="T302" s="5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1"/>
      <c r="AJ302" s="1"/>
      <c r="AK302" s="1"/>
      <c r="AL302" s="1"/>
      <c r="AM302" s="1"/>
      <c r="AN302" s="1"/>
      <c r="AO302" s="1"/>
      <c r="AP302" s="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51"/>
      <c r="T303" s="5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1"/>
      <c r="AJ303" s="1"/>
      <c r="AK303" s="1"/>
      <c r="AL303" s="1"/>
      <c r="AM303" s="1"/>
      <c r="AN303" s="1"/>
      <c r="AO303" s="1"/>
      <c r="AP303" s="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51"/>
      <c r="T304" s="5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1"/>
      <c r="AJ304" s="1"/>
      <c r="AK304" s="1"/>
      <c r="AL304" s="1"/>
      <c r="AM304" s="1"/>
      <c r="AN304" s="1"/>
      <c r="AO304" s="1"/>
      <c r="AP304" s="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51"/>
      <c r="T305" s="5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1"/>
      <c r="AJ305" s="1"/>
      <c r="AK305" s="1"/>
      <c r="AL305" s="1"/>
      <c r="AM305" s="1"/>
      <c r="AN305" s="1"/>
      <c r="AO305" s="1"/>
      <c r="AP305" s="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51"/>
      <c r="T306" s="5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1"/>
      <c r="AJ306" s="1"/>
      <c r="AK306" s="1"/>
      <c r="AL306" s="1"/>
      <c r="AM306" s="1"/>
      <c r="AN306" s="1"/>
      <c r="AO306" s="1"/>
      <c r="AP306" s="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51"/>
      <c r="T307" s="5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1"/>
      <c r="AJ307" s="1"/>
      <c r="AK307" s="1"/>
      <c r="AL307" s="1"/>
      <c r="AM307" s="1"/>
      <c r="AN307" s="1"/>
      <c r="AO307" s="1"/>
      <c r="AP307" s="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51"/>
      <c r="T308" s="5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1"/>
      <c r="AJ308" s="1"/>
      <c r="AK308" s="1"/>
      <c r="AL308" s="1"/>
      <c r="AM308" s="1"/>
      <c r="AN308" s="1"/>
      <c r="AO308" s="1"/>
      <c r="AP308" s="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51"/>
      <c r="T309" s="5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1"/>
      <c r="AJ309" s="1"/>
      <c r="AK309" s="1"/>
      <c r="AL309" s="1"/>
      <c r="AM309" s="1"/>
      <c r="AN309" s="1"/>
      <c r="AO309" s="1"/>
      <c r="AP309" s="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51"/>
      <c r="T310" s="5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1"/>
      <c r="AJ310" s="1"/>
      <c r="AK310" s="1"/>
      <c r="AL310" s="1"/>
      <c r="AM310" s="1"/>
      <c r="AN310" s="1"/>
      <c r="AO310" s="1"/>
      <c r="AP310" s="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51"/>
      <c r="T311" s="5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1"/>
      <c r="AJ311" s="1"/>
      <c r="AK311" s="1"/>
      <c r="AL311" s="1"/>
      <c r="AM311" s="1"/>
      <c r="AN311" s="1"/>
      <c r="AO311" s="1"/>
      <c r="AP311" s="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51"/>
      <c r="T312" s="5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1"/>
      <c r="AJ312" s="1"/>
      <c r="AK312" s="1"/>
      <c r="AL312" s="1"/>
      <c r="AM312" s="1"/>
      <c r="AN312" s="1"/>
      <c r="AO312" s="1"/>
      <c r="AP312" s="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51"/>
      <c r="T313" s="5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1"/>
      <c r="AJ313" s="1"/>
      <c r="AK313" s="1"/>
      <c r="AL313" s="1"/>
      <c r="AM313" s="1"/>
      <c r="AN313" s="1"/>
      <c r="AO313" s="1"/>
      <c r="AP313" s="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51"/>
      <c r="T314" s="5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1"/>
      <c r="AJ314" s="1"/>
      <c r="AK314" s="1"/>
      <c r="AL314" s="1"/>
      <c r="AM314" s="1"/>
      <c r="AN314" s="1"/>
      <c r="AO314" s="1"/>
      <c r="AP314" s="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51"/>
      <c r="T315" s="5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1"/>
      <c r="AJ315" s="1"/>
      <c r="AK315" s="1"/>
      <c r="AL315" s="1"/>
      <c r="AM315" s="1"/>
      <c r="AN315" s="1"/>
      <c r="AO315" s="1"/>
      <c r="AP315" s="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51"/>
      <c r="T316" s="5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1"/>
      <c r="AJ316" s="1"/>
      <c r="AK316" s="1"/>
      <c r="AL316" s="1"/>
      <c r="AM316" s="1"/>
      <c r="AN316" s="1"/>
      <c r="AO316" s="1"/>
      <c r="AP316" s="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51"/>
      <c r="T317" s="5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1"/>
      <c r="AJ317" s="1"/>
      <c r="AK317" s="1"/>
      <c r="AL317" s="1"/>
      <c r="AM317" s="1"/>
      <c r="AN317" s="1"/>
      <c r="AO317" s="1"/>
      <c r="AP317" s="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51"/>
      <c r="T318" s="5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1"/>
      <c r="AJ318" s="1"/>
      <c r="AK318" s="1"/>
      <c r="AL318" s="1"/>
      <c r="AM318" s="1"/>
      <c r="AN318" s="1"/>
      <c r="AO318" s="1"/>
      <c r="AP318" s="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51"/>
      <c r="T319" s="5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1"/>
      <c r="AJ319" s="1"/>
      <c r="AK319" s="1"/>
      <c r="AL319" s="1"/>
      <c r="AM319" s="1"/>
      <c r="AN319" s="1"/>
      <c r="AO319" s="1"/>
      <c r="AP319" s="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51"/>
      <c r="T320" s="5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1"/>
      <c r="AJ320" s="1"/>
      <c r="AK320" s="1"/>
      <c r="AL320" s="1"/>
      <c r="AM320" s="1"/>
      <c r="AN320" s="1"/>
      <c r="AO320" s="1"/>
      <c r="AP320" s="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51"/>
      <c r="T321" s="5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1"/>
      <c r="AJ321" s="1"/>
      <c r="AK321" s="1"/>
      <c r="AL321" s="1"/>
      <c r="AM321" s="1"/>
      <c r="AN321" s="1"/>
      <c r="AO321" s="1"/>
      <c r="AP321" s="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51"/>
      <c r="T322" s="5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1"/>
      <c r="AJ322" s="1"/>
      <c r="AK322" s="1"/>
      <c r="AL322" s="1"/>
      <c r="AM322" s="1"/>
      <c r="AN322" s="1"/>
      <c r="AO322" s="1"/>
      <c r="AP322" s="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51"/>
      <c r="T323" s="5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1"/>
      <c r="AJ323" s="1"/>
      <c r="AK323" s="1"/>
      <c r="AL323" s="1"/>
      <c r="AM323" s="1"/>
      <c r="AN323" s="1"/>
      <c r="AO323" s="1"/>
      <c r="AP323" s="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51"/>
      <c r="T324" s="5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1"/>
      <c r="AJ324" s="1"/>
      <c r="AK324" s="1"/>
      <c r="AL324" s="1"/>
      <c r="AM324" s="1"/>
      <c r="AN324" s="1"/>
      <c r="AO324" s="1"/>
      <c r="AP324" s="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51"/>
      <c r="T325" s="5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1"/>
      <c r="AJ325" s="1"/>
      <c r="AK325" s="1"/>
      <c r="AL325" s="1"/>
      <c r="AM325" s="1"/>
      <c r="AN325" s="1"/>
      <c r="AO325" s="1"/>
      <c r="AP325" s="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51"/>
      <c r="T326" s="5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1"/>
      <c r="AJ326" s="1"/>
      <c r="AK326" s="1"/>
      <c r="AL326" s="1"/>
      <c r="AM326" s="1"/>
      <c r="AN326" s="1"/>
      <c r="AO326" s="1"/>
      <c r="AP326" s="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51"/>
      <c r="T327" s="5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1"/>
      <c r="AJ327" s="1"/>
      <c r="AK327" s="1"/>
      <c r="AL327" s="1"/>
      <c r="AM327" s="1"/>
      <c r="AN327" s="1"/>
      <c r="AO327" s="1"/>
      <c r="AP327" s="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51"/>
      <c r="T328" s="5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1"/>
      <c r="AJ328" s="1"/>
      <c r="AK328" s="1"/>
      <c r="AL328" s="1"/>
      <c r="AM328" s="1"/>
      <c r="AN328" s="1"/>
      <c r="AO328" s="1"/>
      <c r="AP328" s="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51"/>
      <c r="T329" s="5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1"/>
      <c r="AJ329" s="1"/>
      <c r="AK329" s="1"/>
      <c r="AL329" s="1"/>
      <c r="AM329" s="1"/>
      <c r="AN329" s="1"/>
      <c r="AO329" s="1"/>
      <c r="AP329" s="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51"/>
      <c r="T330" s="5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1"/>
      <c r="AJ330" s="1"/>
      <c r="AK330" s="1"/>
      <c r="AL330" s="1"/>
      <c r="AM330" s="1"/>
      <c r="AN330" s="1"/>
      <c r="AO330" s="1"/>
      <c r="AP330" s="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51"/>
      <c r="T331" s="5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1"/>
      <c r="AJ331" s="1"/>
      <c r="AK331" s="1"/>
      <c r="AL331" s="1"/>
      <c r="AM331" s="1"/>
      <c r="AN331" s="1"/>
      <c r="AO331" s="1"/>
      <c r="AP331" s="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51"/>
      <c r="T332" s="5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1"/>
      <c r="AJ332" s="1"/>
      <c r="AK332" s="1"/>
      <c r="AL332" s="1"/>
      <c r="AM332" s="1"/>
      <c r="AN332" s="1"/>
      <c r="AO332" s="1"/>
      <c r="AP332" s="1"/>
    </row>
    <row r="333" ht="15.75" customHeight="1">
      <c r="T333" s="52"/>
    </row>
    <row r="334" ht="15.75" customHeight="1">
      <c r="T334" s="52"/>
    </row>
    <row r="335" ht="15.75" customHeight="1">
      <c r="T335" s="52"/>
    </row>
    <row r="336" ht="15.75" customHeight="1">
      <c r="T336" s="52"/>
    </row>
    <row r="337" ht="15.75" customHeight="1">
      <c r="T337" s="52"/>
    </row>
    <row r="338" ht="15.75" customHeight="1">
      <c r="T338" s="52"/>
    </row>
    <row r="339" ht="15.75" customHeight="1">
      <c r="T339" s="52"/>
    </row>
    <row r="340" ht="15.75" customHeight="1">
      <c r="T340" s="52"/>
    </row>
    <row r="341" ht="15.75" customHeight="1">
      <c r="T341" s="52"/>
    </row>
    <row r="342" ht="15.75" customHeight="1">
      <c r="T342" s="52"/>
    </row>
    <row r="343" ht="15.75" customHeight="1">
      <c r="T343" s="52"/>
    </row>
    <row r="344" ht="15.75" customHeight="1">
      <c r="T344" s="52"/>
    </row>
    <row r="345" ht="15.75" customHeight="1">
      <c r="T345" s="52"/>
    </row>
    <row r="346" ht="15.75" customHeight="1">
      <c r="T346" s="52"/>
    </row>
    <row r="347" ht="15.75" customHeight="1">
      <c r="T347" s="52"/>
    </row>
    <row r="348" ht="15.75" customHeight="1">
      <c r="T348" s="52"/>
    </row>
    <row r="349" ht="15.75" customHeight="1">
      <c r="T349" s="52"/>
    </row>
    <row r="350" ht="15.75" customHeight="1">
      <c r="T350" s="52"/>
    </row>
    <row r="351" ht="15.75" customHeight="1">
      <c r="T351" s="52"/>
    </row>
    <row r="352" ht="15.75" customHeight="1">
      <c r="T352" s="52"/>
    </row>
    <row r="353" ht="15.75" customHeight="1">
      <c r="T353" s="52"/>
    </row>
    <row r="354" ht="15.75" customHeight="1">
      <c r="T354" s="52"/>
    </row>
    <row r="355" ht="15.75" customHeight="1">
      <c r="T355" s="52"/>
    </row>
    <row r="356" ht="15.75" customHeight="1">
      <c r="T356" s="52"/>
    </row>
    <row r="357" ht="15.75" customHeight="1">
      <c r="T357" s="52"/>
    </row>
    <row r="358" ht="15.75" customHeight="1">
      <c r="T358" s="52"/>
    </row>
    <row r="359" ht="15.75" customHeight="1">
      <c r="T359" s="52"/>
    </row>
    <row r="360" ht="15.75" customHeight="1">
      <c r="T360" s="52"/>
    </row>
    <row r="361" ht="15.75" customHeight="1">
      <c r="T361" s="52"/>
    </row>
    <row r="362" ht="15.75" customHeight="1">
      <c r="T362" s="52"/>
    </row>
    <row r="363" ht="15.75" customHeight="1">
      <c r="T363" s="52"/>
    </row>
    <row r="364" ht="15.75" customHeight="1">
      <c r="T364" s="52"/>
    </row>
    <row r="365" ht="15.75" customHeight="1">
      <c r="T365" s="52"/>
    </row>
    <row r="366" ht="15.75" customHeight="1">
      <c r="T366" s="52"/>
    </row>
    <row r="367" ht="15.75" customHeight="1">
      <c r="T367" s="52"/>
    </row>
    <row r="368" ht="15.75" customHeight="1">
      <c r="T368" s="52"/>
    </row>
    <row r="369" ht="15.75" customHeight="1">
      <c r="T369" s="52"/>
    </row>
    <row r="370" ht="15.75" customHeight="1">
      <c r="T370" s="52"/>
    </row>
    <row r="371" ht="15.75" customHeight="1">
      <c r="T371" s="52"/>
    </row>
    <row r="372" ht="15.75" customHeight="1">
      <c r="T372" s="52"/>
    </row>
    <row r="373" ht="15.75" customHeight="1">
      <c r="T373" s="52"/>
    </row>
    <row r="374" ht="15.75" customHeight="1">
      <c r="T374" s="52"/>
    </row>
    <row r="375" ht="15.75" customHeight="1">
      <c r="T375" s="52"/>
    </row>
    <row r="376" ht="15.75" customHeight="1">
      <c r="T376" s="52"/>
    </row>
    <row r="377" ht="15.75" customHeight="1">
      <c r="T377" s="52"/>
    </row>
    <row r="378" ht="15.75" customHeight="1">
      <c r="T378" s="52"/>
    </row>
    <row r="379" ht="15.75" customHeight="1">
      <c r="T379" s="52"/>
    </row>
    <row r="380" ht="15.75" customHeight="1">
      <c r="T380" s="52"/>
    </row>
    <row r="381" ht="15.75" customHeight="1">
      <c r="T381" s="52"/>
    </row>
    <row r="382" ht="15.75" customHeight="1">
      <c r="T382" s="52"/>
    </row>
    <row r="383" ht="15.75" customHeight="1">
      <c r="T383" s="52"/>
    </row>
    <row r="384" ht="15.75" customHeight="1">
      <c r="T384" s="52"/>
    </row>
    <row r="385" ht="15.75" customHeight="1">
      <c r="T385" s="52"/>
    </row>
    <row r="386" ht="15.75" customHeight="1">
      <c r="T386" s="52"/>
    </row>
    <row r="387" ht="15.75" customHeight="1">
      <c r="T387" s="52"/>
    </row>
    <row r="388" ht="15.75" customHeight="1">
      <c r="T388" s="52"/>
    </row>
    <row r="389" ht="15.75" customHeight="1">
      <c r="T389" s="52"/>
    </row>
    <row r="390" ht="15.75" customHeight="1">
      <c r="T390" s="52"/>
    </row>
    <row r="391" ht="15.75" customHeight="1">
      <c r="T391" s="52"/>
    </row>
    <row r="392" ht="15.75" customHeight="1">
      <c r="T392" s="52"/>
    </row>
    <row r="393" ht="15.75" customHeight="1">
      <c r="T393" s="52"/>
    </row>
    <row r="394" ht="15.75" customHeight="1">
      <c r="T394" s="52"/>
    </row>
    <row r="395" ht="15.75" customHeight="1">
      <c r="T395" s="52"/>
    </row>
    <row r="396" ht="15.75" customHeight="1">
      <c r="T396" s="52"/>
    </row>
    <row r="397" ht="15.75" customHeight="1">
      <c r="T397" s="52"/>
    </row>
    <row r="398" ht="15.75" customHeight="1">
      <c r="T398" s="52"/>
    </row>
    <row r="399" ht="15.75" customHeight="1">
      <c r="T399" s="52"/>
    </row>
    <row r="400" ht="15.75" customHeight="1">
      <c r="T400" s="52"/>
    </row>
    <row r="401" ht="15.75" customHeight="1">
      <c r="T401" s="52"/>
    </row>
    <row r="402" ht="15.75" customHeight="1">
      <c r="T402" s="52"/>
    </row>
    <row r="403" ht="15.75" customHeight="1">
      <c r="T403" s="52"/>
    </row>
    <row r="404" ht="15.75" customHeight="1">
      <c r="T404" s="52"/>
    </row>
    <row r="405" ht="15.75" customHeight="1">
      <c r="T405" s="52"/>
    </row>
    <row r="406" ht="15.75" customHeight="1">
      <c r="T406" s="52"/>
    </row>
    <row r="407" ht="15.75" customHeight="1">
      <c r="T407" s="52"/>
    </row>
    <row r="408" ht="15.75" customHeight="1">
      <c r="T408" s="52"/>
    </row>
    <row r="409" ht="15.75" customHeight="1">
      <c r="T409" s="52"/>
    </row>
    <row r="410" ht="15.75" customHeight="1">
      <c r="T410" s="52"/>
    </row>
    <row r="411" ht="15.75" customHeight="1">
      <c r="T411" s="52"/>
    </row>
    <row r="412" ht="15.75" customHeight="1">
      <c r="T412" s="52"/>
    </row>
    <row r="413" ht="15.75" customHeight="1">
      <c r="T413" s="52"/>
    </row>
    <row r="414" ht="15.75" customHeight="1">
      <c r="T414" s="52"/>
    </row>
    <row r="415" ht="15.75" customHeight="1">
      <c r="T415" s="52"/>
    </row>
    <row r="416" ht="15.75" customHeight="1">
      <c r="T416" s="52"/>
    </row>
    <row r="417" ht="15.75" customHeight="1">
      <c r="T417" s="52"/>
    </row>
    <row r="418" ht="15.75" customHeight="1">
      <c r="T418" s="52"/>
    </row>
    <row r="419" ht="15.75" customHeight="1">
      <c r="T419" s="52"/>
    </row>
    <row r="420" ht="15.75" customHeight="1">
      <c r="T420" s="52"/>
    </row>
    <row r="421" ht="15.75" customHeight="1">
      <c r="T421" s="52"/>
    </row>
    <row r="422" ht="15.75" customHeight="1">
      <c r="T422" s="52"/>
    </row>
    <row r="423" ht="15.75" customHeight="1">
      <c r="T423" s="52"/>
    </row>
    <row r="424" ht="15.75" customHeight="1">
      <c r="T424" s="52"/>
    </row>
    <row r="425" ht="15.75" customHeight="1">
      <c r="T425" s="52"/>
    </row>
    <row r="426" ht="15.75" customHeight="1">
      <c r="T426" s="52"/>
    </row>
    <row r="427" ht="15.75" customHeight="1">
      <c r="T427" s="52"/>
    </row>
    <row r="428" ht="15.75" customHeight="1">
      <c r="T428" s="52"/>
    </row>
    <row r="429" ht="15.75" customHeight="1">
      <c r="T429" s="52"/>
    </row>
    <row r="430" ht="15.75" customHeight="1">
      <c r="T430" s="52"/>
    </row>
    <row r="431" ht="15.75" customHeight="1">
      <c r="T431" s="52"/>
    </row>
    <row r="432" ht="15.75" customHeight="1">
      <c r="T432" s="52"/>
    </row>
    <row r="433" ht="15.75" customHeight="1">
      <c r="T433" s="52"/>
    </row>
    <row r="434" ht="15.75" customHeight="1">
      <c r="T434" s="52"/>
    </row>
    <row r="435" ht="15.75" customHeight="1">
      <c r="T435" s="52"/>
    </row>
    <row r="436" ht="15.75" customHeight="1">
      <c r="T436" s="52"/>
    </row>
    <row r="437" ht="15.75" customHeight="1">
      <c r="T437" s="52"/>
    </row>
    <row r="438" ht="15.75" customHeight="1">
      <c r="T438" s="52"/>
    </row>
    <row r="439" ht="15.75" customHeight="1">
      <c r="T439" s="52"/>
    </row>
    <row r="440" ht="15.75" customHeight="1">
      <c r="T440" s="52"/>
    </row>
    <row r="441" ht="15.75" customHeight="1">
      <c r="T441" s="52"/>
    </row>
    <row r="442" ht="15.75" customHeight="1">
      <c r="T442" s="52"/>
    </row>
    <row r="443" ht="15.75" customHeight="1">
      <c r="T443" s="52"/>
    </row>
    <row r="444" ht="15.75" customHeight="1">
      <c r="T444" s="52"/>
    </row>
    <row r="445" ht="15.75" customHeight="1">
      <c r="T445" s="52"/>
    </row>
    <row r="446" ht="15.75" customHeight="1">
      <c r="T446" s="52"/>
    </row>
    <row r="447" ht="15.75" customHeight="1">
      <c r="T447" s="52"/>
    </row>
    <row r="448" ht="15.75" customHeight="1">
      <c r="T448" s="52"/>
    </row>
    <row r="449" ht="15.75" customHeight="1">
      <c r="T449" s="52"/>
    </row>
    <row r="450" ht="15.75" customHeight="1">
      <c r="T450" s="52"/>
    </row>
    <row r="451" ht="15.75" customHeight="1">
      <c r="T451" s="52"/>
    </row>
    <row r="452" ht="15.75" customHeight="1">
      <c r="T452" s="52"/>
    </row>
    <row r="453" ht="15.75" customHeight="1">
      <c r="T453" s="52"/>
    </row>
    <row r="454" ht="15.75" customHeight="1">
      <c r="T454" s="52"/>
    </row>
    <row r="455" ht="15.75" customHeight="1">
      <c r="T455" s="52"/>
    </row>
    <row r="456" ht="15.75" customHeight="1">
      <c r="T456" s="52"/>
    </row>
    <row r="457" ht="15.75" customHeight="1">
      <c r="T457" s="52"/>
    </row>
    <row r="458" ht="15.75" customHeight="1">
      <c r="T458" s="52"/>
    </row>
    <row r="459" ht="15.75" customHeight="1">
      <c r="T459" s="52"/>
    </row>
    <row r="460" ht="15.75" customHeight="1">
      <c r="T460" s="52"/>
    </row>
    <row r="461" ht="15.75" customHeight="1">
      <c r="T461" s="52"/>
    </row>
    <row r="462" ht="15.75" customHeight="1">
      <c r="T462" s="52"/>
    </row>
    <row r="463" ht="15.75" customHeight="1">
      <c r="T463" s="52"/>
    </row>
    <row r="464" ht="15.75" customHeight="1">
      <c r="T464" s="52"/>
    </row>
    <row r="465" ht="15.75" customHeight="1">
      <c r="T465" s="52"/>
    </row>
    <row r="466" ht="15.75" customHeight="1">
      <c r="T466" s="52"/>
    </row>
    <row r="467" ht="15.75" customHeight="1">
      <c r="T467" s="52"/>
    </row>
    <row r="468" ht="15.75" customHeight="1">
      <c r="T468" s="52"/>
    </row>
    <row r="469" ht="15.75" customHeight="1">
      <c r="T469" s="52"/>
    </row>
    <row r="470" ht="15.75" customHeight="1">
      <c r="T470" s="52"/>
    </row>
    <row r="471" ht="15.75" customHeight="1">
      <c r="T471" s="52"/>
    </row>
    <row r="472" ht="15.75" customHeight="1">
      <c r="T472" s="52"/>
    </row>
    <row r="473" ht="15.75" customHeight="1">
      <c r="T473" s="52"/>
    </row>
    <row r="474" ht="15.75" customHeight="1">
      <c r="T474" s="52"/>
    </row>
    <row r="475" ht="15.75" customHeight="1">
      <c r="T475" s="52"/>
    </row>
    <row r="476" ht="15.75" customHeight="1">
      <c r="T476" s="52"/>
    </row>
    <row r="477" ht="15.75" customHeight="1">
      <c r="T477" s="52"/>
    </row>
    <row r="478" ht="15.75" customHeight="1">
      <c r="T478" s="52"/>
    </row>
    <row r="479" ht="15.75" customHeight="1">
      <c r="T479" s="52"/>
    </row>
    <row r="480" ht="15.75" customHeight="1">
      <c r="T480" s="52"/>
    </row>
    <row r="481" ht="15.75" customHeight="1">
      <c r="T481" s="52"/>
    </row>
    <row r="482" ht="15.75" customHeight="1">
      <c r="T482" s="52"/>
    </row>
    <row r="483" ht="15.75" customHeight="1">
      <c r="T483" s="52"/>
    </row>
    <row r="484" ht="15.75" customHeight="1">
      <c r="T484" s="52"/>
    </row>
    <row r="485" ht="15.75" customHeight="1">
      <c r="T485" s="52"/>
    </row>
    <row r="486" ht="15.75" customHeight="1">
      <c r="T486" s="52"/>
    </row>
    <row r="487" ht="15.75" customHeight="1">
      <c r="T487" s="52"/>
    </row>
    <row r="488" ht="15.75" customHeight="1">
      <c r="T488" s="52"/>
    </row>
    <row r="489" ht="15.75" customHeight="1">
      <c r="T489" s="52"/>
    </row>
    <row r="490" ht="15.75" customHeight="1">
      <c r="T490" s="52"/>
    </row>
    <row r="491" ht="15.75" customHeight="1">
      <c r="T491" s="52"/>
    </row>
    <row r="492" ht="15.75" customHeight="1">
      <c r="T492" s="52"/>
    </row>
    <row r="493" ht="15.75" customHeight="1">
      <c r="T493" s="52"/>
    </row>
    <row r="494" ht="15.75" customHeight="1">
      <c r="T494" s="52"/>
    </row>
    <row r="495" ht="15.75" customHeight="1">
      <c r="T495" s="52"/>
    </row>
    <row r="496" ht="15.75" customHeight="1">
      <c r="T496" s="52"/>
    </row>
    <row r="497" ht="15.75" customHeight="1">
      <c r="T497" s="52"/>
    </row>
    <row r="498" ht="15.75" customHeight="1">
      <c r="T498" s="52"/>
    </row>
    <row r="499" ht="15.75" customHeight="1">
      <c r="T499" s="52"/>
    </row>
    <row r="500" ht="15.75" customHeight="1">
      <c r="T500" s="52"/>
    </row>
    <row r="501" ht="15.75" customHeight="1">
      <c r="T501" s="52"/>
    </row>
    <row r="502" ht="15.75" customHeight="1">
      <c r="T502" s="52"/>
    </row>
    <row r="503" ht="15.75" customHeight="1">
      <c r="T503" s="52"/>
    </row>
    <row r="504" ht="15.75" customHeight="1">
      <c r="T504" s="52"/>
    </row>
    <row r="505" ht="15.75" customHeight="1">
      <c r="T505" s="52"/>
    </row>
    <row r="506" ht="15.75" customHeight="1">
      <c r="T506" s="52"/>
    </row>
    <row r="507" ht="15.75" customHeight="1">
      <c r="T507" s="52"/>
    </row>
    <row r="508" ht="15.75" customHeight="1">
      <c r="T508" s="52"/>
    </row>
    <row r="509" ht="15.75" customHeight="1">
      <c r="T509" s="52"/>
    </row>
    <row r="510" ht="15.75" customHeight="1">
      <c r="T510" s="52"/>
    </row>
    <row r="511" ht="15.75" customHeight="1">
      <c r="T511" s="52"/>
    </row>
    <row r="512" ht="15.75" customHeight="1">
      <c r="T512" s="52"/>
    </row>
    <row r="513" ht="15.75" customHeight="1">
      <c r="T513" s="52"/>
    </row>
    <row r="514" ht="15.75" customHeight="1">
      <c r="T514" s="52"/>
    </row>
    <row r="515" ht="15.75" customHeight="1">
      <c r="T515" s="52"/>
    </row>
    <row r="516" ht="15.75" customHeight="1">
      <c r="T516" s="52"/>
    </row>
    <row r="517" ht="15.75" customHeight="1">
      <c r="T517" s="52"/>
    </row>
    <row r="518" ht="15.75" customHeight="1">
      <c r="T518" s="52"/>
    </row>
    <row r="519" ht="15.75" customHeight="1">
      <c r="T519" s="52"/>
    </row>
    <row r="520" ht="15.75" customHeight="1">
      <c r="T520" s="52"/>
    </row>
    <row r="521" ht="15.75" customHeight="1">
      <c r="T521" s="52"/>
    </row>
    <row r="522" ht="15.75" customHeight="1">
      <c r="T522" s="52"/>
    </row>
    <row r="523" ht="15.75" customHeight="1">
      <c r="T523" s="52"/>
    </row>
    <row r="524" ht="15.75" customHeight="1">
      <c r="T524" s="52"/>
    </row>
    <row r="525" ht="15.75" customHeight="1">
      <c r="T525" s="52"/>
    </row>
    <row r="526" ht="15.75" customHeight="1">
      <c r="T526" s="52"/>
    </row>
    <row r="527" ht="15.75" customHeight="1">
      <c r="T527" s="52"/>
    </row>
    <row r="528" ht="15.75" customHeight="1">
      <c r="T528" s="52"/>
    </row>
    <row r="529" ht="15.75" customHeight="1">
      <c r="T529" s="52"/>
    </row>
    <row r="530" ht="15.75" customHeight="1">
      <c r="T530" s="52"/>
    </row>
    <row r="531" ht="15.75" customHeight="1">
      <c r="T531" s="52"/>
    </row>
    <row r="532" ht="15.75" customHeight="1">
      <c r="T532" s="52"/>
    </row>
    <row r="533" ht="15.75" customHeight="1">
      <c r="T533" s="52"/>
    </row>
    <row r="534" ht="15.75" customHeight="1">
      <c r="T534" s="52"/>
    </row>
    <row r="535" ht="15.75" customHeight="1">
      <c r="T535" s="52"/>
    </row>
    <row r="536" ht="15.75" customHeight="1">
      <c r="T536" s="52"/>
    </row>
    <row r="537" ht="15.75" customHeight="1">
      <c r="T537" s="52"/>
    </row>
    <row r="538" ht="15.75" customHeight="1">
      <c r="T538" s="52"/>
    </row>
    <row r="539" ht="15.75" customHeight="1">
      <c r="T539" s="52"/>
    </row>
    <row r="540" ht="15.75" customHeight="1">
      <c r="T540" s="52"/>
    </row>
    <row r="541" ht="15.75" customHeight="1">
      <c r="T541" s="52"/>
    </row>
    <row r="542" ht="15.75" customHeight="1">
      <c r="T542" s="52"/>
    </row>
    <row r="543" ht="15.75" customHeight="1">
      <c r="T543" s="52"/>
    </row>
    <row r="544" ht="15.75" customHeight="1">
      <c r="T544" s="52"/>
    </row>
    <row r="545" ht="15.75" customHeight="1">
      <c r="T545" s="52"/>
    </row>
    <row r="546" ht="15.75" customHeight="1">
      <c r="T546" s="52"/>
    </row>
    <row r="547" ht="15.75" customHeight="1">
      <c r="T547" s="52"/>
    </row>
    <row r="548" ht="15.75" customHeight="1">
      <c r="T548" s="52"/>
    </row>
    <row r="549" ht="15.75" customHeight="1">
      <c r="T549" s="52"/>
    </row>
    <row r="550" ht="15.75" customHeight="1">
      <c r="T550" s="52"/>
    </row>
    <row r="551" ht="15.75" customHeight="1">
      <c r="T551" s="52"/>
    </row>
    <row r="552" ht="15.75" customHeight="1">
      <c r="T552" s="52"/>
    </row>
    <row r="553" ht="15.75" customHeight="1">
      <c r="T553" s="52"/>
    </row>
    <row r="554" ht="15.75" customHeight="1">
      <c r="T554" s="52"/>
    </row>
    <row r="555" ht="15.75" customHeight="1">
      <c r="T555" s="52"/>
    </row>
    <row r="556" ht="15.75" customHeight="1">
      <c r="T556" s="52"/>
    </row>
    <row r="557" ht="15.75" customHeight="1">
      <c r="T557" s="52"/>
    </row>
    <row r="558" ht="15.75" customHeight="1">
      <c r="T558" s="52"/>
    </row>
    <row r="559" ht="15.75" customHeight="1">
      <c r="T559" s="52"/>
    </row>
    <row r="560" ht="15.75" customHeight="1">
      <c r="T560" s="52"/>
    </row>
    <row r="561" ht="15.75" customHeight="1">
      <c r="T561" s="52"/>
    </row>
    <row r="562" ht="15.75" customHeight="1">
      <c r="T562" s="52"/>
    </row>
    <row r="563" ht="15.75" customHeight="1">
      <c r="T563" s="52"/>
    </row>
    <row r="564" ht="15.75" customHeight="1">
      <c r="T564" s="52"/>
    </row>
    <row r="565" ht="15.75" customHeight="1">
      <c r="T565" s="52"/>
    </row>
    <row r="566" ht="15.75" customHeight="1">
      <c r="T566" s="52"/>
    </row>
    <row r="567" ht="15.75" customHeight="1">
      <c r="T567" s="52"/>
    </row>
    <row r="568" ht="15.75" customHeight="1">
      <c r="T568" s="52"/>
    </row>
    <row r="569" ht="15.75" customHeight="1">
      <c r="T569" s="52"/>
    </row>
    <row r="570" ht="15.75" customHeight="1">
      <c r="T570" s="52"/>
    </row>
    <row r="571" ht="15.75" customHeight="1">
      <c r="T571" s="52"/>
    </row>
    <row r="572" ht="15.75" customHeight="1">
      <c r="T572" s="52"/>
    </row>
    <row r="573" ht="15.75" customHeight="1">
      <c r="T573" s="52"/>
    </row>
    <row r="574" ht="15.75" customHeight="1">
      <c r="T574" s="52"/>
    </row>
    <row r="575" ht="15.75" customHeight="1">
      <c r="T575" s="52"/>
    </row>
    <row r="576" ht="15.75" customHeight="1">
      <c r="T576" s="52"/>
    </row>
    <row r="577" ht="15.75" customHeight="1">
      <c r="T577" s="52"/>
    </row>
    <row r="578" ht="15.75" customHeight="1">
      <c r="T578" s="52"/>
    </row>
    <row r="579" ht="15.75" customHeight="1">
      <c r="T579" s="52"/>
    </row>
    <row r="580" ht="15.75" customHeight="1">
      <c r="T580" s="52"/>
    </row>
    <row r="581" ht="15.75" customHeight="1">
      <c r="T581" s="52"/>
    </row>
    <row r="582" ht="15.75" customHeight="1">
      <c r="T582" s="52"/>
    </row>
    <row r="583" ht="15.75" customHeight="1">
      <c r="T583" s="52"/>
    </row>
    <row r="584" ht="15.75" customHeight="1">
      <c r="T584" s="52"/>
    </row>
    <row r="585" ht="15.75" customHeight="1">
      <c r="T585" s="52"/>
    </row>
    <row r="586" ht="15.75" customHeight="1">
      <c r="T586" s="52"/>
    </row>
    <row r="587" ht="15.75" customHeight="1">
      <c r="T587" s="52"/>
    </row>
    <row r="588" ht="15.75" customHeight="1">
      <c r="T588" s="52"/>
    </row>
    <row r="589" ht="15.75" customHeight="1">
      <c r="T589" s="52"/>
    </row>
    <row r="590" ht="15.75" customHeight="1">
      <c r="T590" s="52"/>
    </row>
    <row r="591" ht="15.75" customHeight="1">
      <c r="T591" s="52"/>
    </row>
    <row r="592" ht="15.75" customHeight="1">
      <c r="T592" s="52"/>
    </row>
    <row r="593" ht="15.75" customHeight="1">
      <c r="T593" s="52"/>
    </row>
    <row r="594" ht="15.75" customHeight="1">
      <c r="T594" s="52"/>
    </row>
    <row r="595" ht="15.75" customHeight="1">
      <c r="T595" s="52"/>
    </row>
    <row r="596" ht="15.75" customHeight="1">
      <c r="T596" s="52"/>
    </row>
    <row r="597" ht="15.75" customHeight="1">
      <c r="T597" s="52"/>
    </row>
    <row r="598" ht="15.75" customHeight="1">
      <c r="T598" s="52"/>
    </row>
    <row r="599" ht="15.75" customHeight="1">
      <c r="T599" s="52"/>
    </row>
    <row r="600" ht="15.75" customHeight="1">
      <c r="T600" s="52"/>
    </row>
    <row r="601" ht="15.75" customHeight="1">
      <c r="T601" s="52"/>
    </row>
    <row r="602" ht="15.75" customHeight="1">
      <c r="T602" s="52"/>
    </row>
    <row r="603" ht="15.75" customHeight="1">
      <c r="T603" s="52"/>
    </row>
    <row r="604" ht="15.75" customHeight="1">
      <c r="T604" s="52"/>
    </row>
    <row r="605" ht="15.75" customHeight="1">
      <c r="T605" s="52"/>
    </row>
    <row r="606" ht="15.75" customHeight="1">
      <c r="T606" s="52"/>
    </row>
    <row r="607" ht="15.75" customHeight="1">
      <c r="T607" s="52"/>
    </row>
    <row r="608" ht="15.75" customHeight="1">
      <c r="T608" s="52"/>
    </row>
    <row r="609" ht="15.75" customHeight="1">
      <c r="T609" s="52"/>
    </row>
    <row r="610" ht="15.75" customHeight="1">
      <c r="T610" s="52"/>
    </row>
    <row r="611" ht="15.75" customHeight="1">
      <c r="T611" s="52"/>
    </row>
    <row r="612" ht="15.75" customHeight="1">
      <c r="T612" s="52"/>
    </row>
    <row r="613" ht="15.75" customHeight="1">
      <c r="T613" s="52"/>
    </row>
    <row r="614" ht="15.75" customHeight="1">
      <c r="T614" s="52"/>
    </row>
    <row r="615" ht="15.75" customHeight="1">
      <c r="T615" s="52"/>
    </row>
    <row r="616" ht="15.75" customHeight="1">
      <c r="T616" s="52"/>
    </row>
    <row r="617" ht="15.75" customHeight="1">
      <c r="T617" s="52"/>
    </row>
    <row r="618" ht="15.75" customHeight="1">
      <c r="T618" s="52"/>
    </row>
    <row r="619" ht="15.75" customHeight="1">
      <c r="T619" s="52"/>
    </row>
    <row r="620" ht="15.75" customHeight="1">
      <c r="T620" s="52"/>
    </row>
    <row r="621" ht="15.75" customHeight="1">
      <c r="T621" s="52"/>
    </row>
    <row r="622" ht="15.75" customHeight="1">
      <c r="T622" s="52"/>
    </row>
    <row r="623" ht="15.75" customHeight="1">
      <c r="T623" s="52"/>
    </row>
    <row r="624" ht="15.75" customHeight="1">
      <c r="T624" s="52"/>
    </row>
    <row r="625" ht="15.75" customHeight="1">
      <c r="T625" s="52"/>
    </row>
    <row r="626" ht="15.75" customHeight="1">
      <c r="T626" s="52"/>
    </row>
    <row r="627" ht="15.75" customHeight="1">
      <c r="T627" s="52"/>
    </row>
    <row r="628" ht="15.75" customHeight="1">
      <c r="T628" s="52"/>
    </row>
    <row r="629" ht="15.75" customHeight="1">
      <c r="T629" s="52"/>
    </row>
    <row r="630" ht="15.75" customHeight="1">
      <c r="T630" s="52"/>
    </row>
    <row r="631" ht="15.75" customHeight="1">
      <c r="T631" s="52"/>
    </row>
    <row r="632" ht="15.75" customHeight="1">
      <c r="T632" s="52"/>
    </row>
    <row r="633" ht="15.75" customHeight="1">
      <c r="T633" s="52"/>
    </row>
    <row r="634" ht="15.75" customHeight="1">
      <c r="T634" s="52"/>
    </row>
    <row r="635" ht="15.75" customHeight="1">
      <c r="T635" s="52"/>
    </row>
    <row r="636" ht="15.75" customHeight="1">
      <c r="T636" s="52"/>
    </row>
    <row r="637" ht="15.75" customHeight="1">
      <c r="T637" s="52"/>
    </row>
    <row r="638" ht="15.75" customHeight="1">
      <c r="T638" s="52"/>
    </row>
    <row r="639" ht="15.75" customHeight="1">
      <c r="T639" s="52"/>
    </row>
    <row r="640" ht="15.75" customHeight="1">
      <c r="T640" s="52"/>
    </row>
    <row r="641" ht="15.75" customHeight="1">
      <c r="T641" s="52"/>
    </row>
    <row r="642" ht="15.75" customHeight="1">
      <c r="T642" s="52"/>
    </row>
    <row r="643" ht="15.75" customHeight="1">
      <c r="T643" s="52"/>
    </row>
    <row r="644" ht="15.75" customHeight="1">
      <c r="T644" s="52"/>
    </row>
    <row r="645" ht="15.75" customHeight="1">
      <c r="T645" s="52"/>
    </row>
    <row r="646" ht="15.75" customHeight="1">
      <c r="T646" s="52"/>
    </row>
    <row r="647" ht="15.75" customHeight="1">
      <c r="T647" s="52"/>
    </row>
    <row r="648" ht="15.75" customHeight="1">
      <c r="T648" s="52"/>
    </row>
    <row r="649" ht="15.75" customHeight="1">
      <c r="T649" s="52"/>
    </row>
    <row r="650" ht="15.75" customHeight="1">
      <c r="T650" s="52"/>
    </row>
    <row r="651" ht="15.75" customHeight="1">
      <c r="T651" s="52"/>
    </row>
    <row r="652" ht="15.75" customHeight="1">
      <c r="T652" s="52"/>
    </row>
    <row r="653" ht="15.75" customHeight="1">
      <c r="T653" s="52"/>
    </row>
    <row r="654" ht="15.75" customHeight="1">
      <c r="T654" s="52"/>
    </row>
    <row r="655" ht="15.75" customHeight="1">
      <c r="T655" s="52"/>
    </row>
    <row r="656" ht="15.75" customHeight="1">
      <c r="T656" s="52"/>
    </row>
    <row r="657" ht="15.75" customHeight="1">
      <c r="T657" s="52"/>
    </row>
    <row r="658" ht="15.75" customHeight="1">
      <c r="T658" s="52"/>
    </row>
    <row r="659" ht="15.75" customHeight="1">
      <c r="T659" s="52"/>
    </row>
    <row r="660" ht="15.75" customHeight="1">
      <c r="T660" s="52"/>
    </row>
    <row r="661" ht="15.75" customHeight="1">
      <c r="T661" s="52"/>
    </row>
    <row r="662" ht="15.75" customHeight="1">
      <c r="T662" s="52"/>
    </row>
    <row r="663" ht="15.75" customHeight="1">
      <c r="T663" s="52"/>
    </row>
    <row r="664" ht="15.75" customHeight="1">
      <c r="T664" s="52"/>
    </row>
    <row r="665" ht="15.75" customHeight="1">
      <c r="T665" s="52"/>
    </row>
    <row r="666" ht="15.75" customHeight="1">
      <c r="T666" s="52"/>
    </row>
    <row r="667" ht="15.75" customHeight="1">
      <c r="T667" s="52"/>
    </row>
    <row r="668" ht="15.75" customHeight="1">
      <c r="T668" s="52"/>
    </row>
    <row r="669" ht="15.75" customHeight="1">
      <c r="T669" s="52"/>
    </row>
    <row r="670" ht="15.75" customHeight="1">
      <c r="T670" s="52"/>
    </row>
    <row r="671" ht="15.75" customHeight="1">
      <c r="T671" s="52"/>
    </row>
    <row r="672" ht="15.75" customHeight="1">
      <c r="T672" s="52"/>
    </row>
    <row r="673" ht="15.75" customHeight="1">
      <c r="T673" s="52"/>
    </row>
    <row r="674" ht="15.75" customHeight="1">
      <c r="T674" s="52"/>
    </row>
    <row r="675" ht="15.75" customHeight="1">
      <c r="T675" s="52"/>
    </row>
    <row r="676" ht="15.75" customHeight="1">
      <c r="T676" s="52"/>
    </row>
    <row r="677" ht="15.75" customHeight="1">
      <c r="T677" s="52"/>
    </row>
    <row r="678" ht="15.75" customHeight="1">
      <c r="T678" s="52"/>
    </row>
    <row r="679" ht="15.75" customHeight="1">
      <c r="T679" s="52"/>
    </row>
    <row r="680" ht="15.75" customHeight="1">
      <c r="T680" s="52"/>
    </row>
    <row r="681" ht="15.75" customHeight="1">
      <c r="T681" s="52"/>
    </row>
    <row r="682" ht="15.75" customHeight="1">
      <c r="T682" s="52"/>
    </row>
    <row r="683" ht="15.75" customHeight="1">
      <c r="T683" s="52"/>
    </row>
    <row r="684" ht="15.75" customHeight="1">
      <c r="T684" s="52"/>
    </row>
    <row r="685" ht="15.75" customHeight="1">
      <c r="T685" s="52"/>
    </row>
    <row r="686" ht="15.75" customHeight="1">
      <c r="T686" s="52"/>
    </row>
    <row r="687" ht="15.75" customHeight="1">
      <c r="T687" s="52"/>
    </row>
    <row r="688" ht="15.75" customHeight="1">
      <c r="T688" s="52"/>
    </row>
    <row r="689" ht="15.75" customHeight="1">
      <c r="T689" s="52"/>
    </row>
    <row r="690" ht="15.75" customHeight="1">
      <c r="T690" s="52"/>
    </row>
    <row r="691" ht="15.75" customHeight="1">
      <c r="T691" s="52"/>
    </row>
    <row r="692" ht="15.75" customHeight="1">
      <c r="T692" s="52"/>
    </row>
    <row r="693" ht="15.75" customHeight="1">
      <c r="T693" s="52"/>
    </row>
    <row r="694" ht="15.75" customHeight="1">
      <c r="T694" s="52"/>
    </row>
    <row r="695" ht="15.75" customHeight="1">
      <c r="T695" s="52"/>
    </row>
    <row r="696" ht="15.75" customHeight="1">
      <c r="T696" s="52"/>
    </row>
    <row r="697" ht="15.75" customHeight="1">
      <c r="T697" s="52"/>
    </row>
    <row r="698" ht="15.75" customHeight="1">
      <c r="T698" s="52"/>
    </row>
    <row r="699" ht="15.75" customHeight="1">
      <c r="T699" s="52"/>
    </row>
    <row r="700" ht="15.75" customHeight="1">
      <c r="T700" s="52"/>
    </row>
    <row r="701" ht="15.75" customHeight="1">
      <c r="T701" s="52"/>
    </row>
    <row r="702" ht="15.75" customHeight="1">
      <c r="T702" s="52"/>
    </row>
    <row r="703" ht="15.75" customHeight="1">
      <c r="T703" s="52"/>
    </row>
    <row r="704" ht="15.75" customHeight="1">
      <c r="T704" s="52"/>
    </row>
    <row r="705" ht="15.75" customHeight="1">
      <c r="T705" s="52"/>
    </row>
    <row r="706" ht="15.75" customHeight="1">
      <c r="T706" s="52"/>
    </row>
    <row r="707" ht="15.75" customHeight="1">
      <c r="T707" s="52"/>
    </row>
    <row r="708" ht="15.75" customHeight="1">
      <c r="T708" s="52"/>
    </row>
    <row r="709" ht="15.75" customHeight="1">
      <c r="T709" s="52"/>
    </row>
    <row r="710" ht="15.75" customHeight="1">
      <c r="T710" s="52"/>
    </row>
    <row r="711" ht="15.75" customHeight="1">
      <c r="T711" s="52"/>
    </row>
    <row r="712" ht="15.75" customHeight="1">
      <c r="T712" s="52"/>
    </row>
    <row r="713" ht="15.75" customHeight="1">
      <c r="T713" s="52"/>
    </row>
    <row r="714" ht="15.75" customHeight="1">
      <c r="T714" s="52"/>
    </row>
    <row r="715" ht="15.75" customHeight="1">
      <c r="T715" s="52"/>
    </row>
    <row r="716" ht="15.75" customHeight="1">
      <c r="T716" s="52"/>
    </row>
    <row r="717" ht="15.75" customHeight="1">
      <c r="T717" s="52"/>
    </row>
    <row r="718" ht="15.75" customHeight="1">
      <c r="T718" s="52"/>
    </row>
    <row r="719" ht="15.75" customHeight="1">
      <c r="T719" s="52"/>
    </row>
    <row r="720" ht="15.75" customHeight="1">
      <c r="T720" s="52"/>
    </row>
    <row r="721" ht="15.75" customHeight="1">
      <c r="T721" s="52"/>
    </row>
    <row r="722" ht="15.75" customHeight="1">
      <c r="T722" s="52"/>
    </row>
    <row r="723" ht="15.75" customHeight="1">
      <c r="T723" s="52"/>
    </row>
    <row r="724" ht="15.75" customHeight="1">
      <c r="T724" s="52"/>
    </row>
    <row r="725" ht="15.75" customHeight="1">
      <c r="T725" s="52"/>
    </row>
    <row r="726" ht="15.75" customHeight="1">
      <c r="T726" s="52"/>
    </row>
    <row r="727" ht="15.75" customHeight="1">
      <c r="T727" s="52"/>
    </row>
    <row r="728" ht="15.75" customHeight="1">
      <c r="T728" s="52"/>
    </row>
    <row r="729" ht="15.75" customHeight="1">
      <c r="T729" s="52"/>
    </row>
    <row r="730" ht="15.75" customHeight="1">
      <c r="T730" s="52"/>
    </row>
    <row r="731" ht="15.75" customHeight="1">
      <c r="T731" s="52"/>
    </row>
    <row r="732" ht="15.75" customHeight="1">
      <c r="T732" s="52"/>
    </row>
    <row r="733" ht="15.75" customHeight="1">
      <c r="T733" s="52"/>
    </row>
    <row r="734" ht="15.75" customHeight="1">
      <c r="T734" s="52"/>
    </row>
    <row r="735" ht="15.75" customHeight="1">
      <c r="T735" s="52"/>
    </row>
    <row r="736" ht="15.75" customHeight="1">
      <c r="T736" s="52"/>
    </row>
    <row r="737" ht="15.75" customHeight="1">
      <c r="T737" s="52"/>
    </row>
    <row r="738" ht="15.75" customHeight="1">
      <c r="T738" s="52"/>
    </row>
    <row r="739" ht="15.75" customHeight="1">
      <c r="T739" s="52"/>
    </row>
    <row r="740" ht="15.75" customHeight="1">
      <c r="T740" s="52"/>
    </row>
    <row r="741" ht="15.75" customHeight="1">
      <c r="T741" s="52"/>
    </row>
    <row r="742" ht="15.75" customHeight="1">
      <c r="T742" s="52"/>
    </row>
    <row r="743" ht="15.75" customHeight="1">
      <c r="T743" s="52"/>
    </row>
    <row r="744" ht="15.75" customHeight="1">
      <c r="T744" s="52"/>
    </row>
    <row r="745" ht="15.75" customHeight="1">
      <c r="T745" s="52"/>
    </row>
    <row r="746" ht="15.75" customHeight="1">
      <c r="T746" s="52"/>
    </row>
    <row r="747" ht="15.75" customHeight="1">
      <c r="T747" s="52"/>
    </row>
    <row r="748" ht="15.75" customHeight="1">
      <c r="T748" s="52"/>
    </row>
    <row r="749" ht="15.75" customHeight="1">
      <c r="T749" s="52"/>
    </row>
    <row r="750" ht="15.75" customHeight="1">
      <c r="T750" s="52"/>
    </row>
    <row r="751" ht="15.75" customHeight="1">
      <c r="T751" s="52"/>
    </row>
    <row r="752" ht="15.75" customHeight="1">
      <c r="T752" s="52"/>
    </row>
    <row r="753" ht="15.75" customHeight="1">
      <c r="T753" s="52"/>
    </row>
    <row r="754" ht="15.75" customHeight="1">
      <c r="T754" s="52"/>
    </row>
    <row r="755" ht="15.75" customHeight="1">
      <c r="T755" s="52"/>
    </row>
    <row r="756" ht="15.75" customHeight="1">
      <c r="T756" s="52"/>
    </row>
    <row r="757" ht="15.75" customHeight="1">
      <c r="T757" s="52"/>
    </row>
    <row r="758" ht="15.75" customHeight="1">
      <c r="T758" s="52"/>
    </row>
    <row r="759" ht="15.75" customHeight="1">
      <c r="T759" s="52"/>
    </row>
    <row r="760" ht="15.75" customHeight="1">
      <c r="T760" s="52"/>
    </row>
    <row r="761" ht="15.75" customHeight="1">
      <c r="T761" s="52"/>
    </row>
    <row r="762" ht="15.75" customHeight="1">
      <c r="T762" s="52"/>
    </row>
    <row r="763" ht="15.75" customHeight="1">
      <c r="T763" s="52"/>
    </row>
    <row r="764" ht="15.75" customHeight="1">
      <c r="T764" s="52"/>
    </row>
    <row r="765" ht="15.75" customHeight="1">
      <c r="T765" s="52"/>
    </row>
    <row r="766" ht="15.75" customHeight="1">
      <c r="T766" s="52"/>
    </row>
    <row r="767" ht="15.75" customHeight="1">
      <c r="T767" s="52"/>
    </row>
    <row r="768" ht="15.75" customHeight="1">
      <c r="T768" s="52"/>
    </row>
    <row r="769" ht="15.75" customHeight="1">
      <c r="T769" s="52"/>
    </row>
    <row r="770" ht="15.75" customHeight="1">
      <c r="T770" s="52"/>
    </row>
    <row r="771" ht="15.75" customHeight="1">
      <c r="T771" s="52"/>
    </row>
    <row r="772" ht="15.75" customHeight="1">
      <c r="T772" s="52"/>
    </row>
    <row r="773" ht="15.75" customHeight="1">
      <c r="T773" s="52"/>
    </row>
    <row r="774" ht="15.75" customHeight="1">
      <c r="T774" s="52"/>
    </row>
    <row r="775" ht="15.75" customHeight="1">
      <c r="T775" s="52"/>
    </row>
    <row r="776" ht="15.75" customHeight="1">
      <c r="T776" s="52"/>
    </row>
    <row r="777" ht="15.75" customHeight="1">
      <c r="T777" s="52"/>
    </row>
    <row r="778" ht="15.75" customHeight="1">
      <c r="T778" s="52"/>
    </row>
    <row r="779" ht="15.75" customHeight="1">
      <c r="T779" s="52"/>
    </row>
    <row r="780" ht="15.75" customHeight="1">
      <c r="T780" s="52"/>
    </row>
    <row r="781" ht="15.75" customHeight="1">
      <c r="T781" s="52"/>
    </row>
    <row r="782" ht="15.75" customHeight="1">
      <c r="T782" s="52"/>
    </row>
    <row r="783" ht="15.75" customHeight="1">
      <c r="T783" s="52"/>
    </row>
    <row r="784" ht="15.75" customHeight="1">
      <c r="T784" s="52"/>
    </row>
    <row r="785" ht="15.75" customHeight="1">
      <c r="T785" s="52"/>
    </row>
    <row r="786" ht="15.75" customHeight="1">
      <c r="T786" s="52"/>
    </row>
    <row r="787" ht="15.75" customHeight="1">
      <c r="T787" s="52"/>
    </row>
    <row r="788" ht="15.75" customHeight="1">
      <c r="T788" s="52"/>
    </row>
    <row r="789" ht="15.75" customHeight="1">
      <c r="T789" s="52"/>
    </row>
    <row r="790" ht="15.75" customHeight="1">
      <c r="T790" s="52"/>
    </row>
    <row r="791" ht="15.75" customHeight="1">
      <c r="T791" s="52"/>
    </row>
    <row r="792" ht="15.75" customHeight="1">
      <c r="T792" s="52"/>
    </row>
    <row r="793" ht="15.75" customHeight="1">
      <c r="T793" s="52"/>
    </row>
    <row r="794" ht="15.75" customHeight="1">
      <c r="T794" s="52"/>
    </row>
    <row r="795" ht="15.75" customHeight="1">
      <c r="T795" s="52"/>
    </row>
    <row r="796" ht="15.75" customHeight="1">
      <c r="T796" s="52"/>
    </row>
    <row r="797" ht="15.75" customHeight="1">
      <c r="T797" s="52"/>
    </row>
    <row r="798" ht="15.75" customHeight="1">
      <c r="T798" s="52"/>
    </row>
    <row r="799" ht="15.75" customHeight="1">
      <c r="T799" s="52"/>
    </row>
    <row r="800" ht="15.75" customHeight="1">
      <c r="T800" s="52"/>
    </row>
    <row r="801" ht="15.75" customHeight="1">
      <c r="T801" s="52"/>
    </row>
    <row r="802" ht="15.75" customHeight="1">
      <c r="T802" s="52"/>
    </row>
    <row r="803" ht="15.75" customHeight="1">
      <c r="T803" s="52"/>
    </row>
    <row r="804" ht="15.75" customHeight="1">
      <c r="T804" s="52"/>
    </row>
    <row r="805" ht="15.75" customHeight="1">
      <c r="T805" s="52"/>
    </row>
    <row r="806" ht="15.75" customHeight="1">
      <c r="T806" s="52"/>
    </row>
    <row r="807" ht="15.75" customHeight="1">
      <c r="T807" s="52"/>
    </row>
    <row r="808" ht="15.75" customHeight="1">
      <c r="T808" s="52"/>
    </row>
    <row r="809" ht="15.75" customHeight="1">
      <c r="T809" s="52"/>
    </row>
    <row r="810" ht="15.75" customHeight="1">
      <c r="T810" s="52"/>
    </row>
    <row r="811" ht="15.75" customHeight="1">
      <c r="T811" s="52"/>
    </row>
    <row r="812" ht="15.75" customHeight="1">
      <c r="T812" s="52"/>
    </row>
    <row r="813" ht="15.75" customHeight="1">
      <c r="T813" s="52"/>
    </row>
    <row r="814" ht="15.75" customHeight="1">
      <c r="T814" s="52"/>
    </row>
    <row r="815" ht="15.75" customHeight="1">
      <c r="T815" s="52"/>
    </row>
    <row r="816" ht="15.75" customHeight="1">
      <c r="T816" s="52"/>
    </row>
    <row r="817" ht="15.75" customHeight="1">
      <c r="T817" s="52"/>
    </row>
    <row r="818" ht="15.75" customHeight="1">
      <c r="T818" s="52"/>
    </row>
    <row r="819" ht="15.75" customHeight="1">
      <c r="T819" s="52"/>
    </row>
    <row r="820" ht="15.75" customHeight="1">
      <c r="T820" s="52"/>
    </row>
    <row r="821" ht="15.75" customHeight="1">
      <c r="T821" s="52"/>
    </row>
    <row r="822" ht="15.75" customHeight="1">
      <c r="T822" s="52"/>
    </row>
    <row r="823" ht="15.75" customHeight="1">
      <c r="T823" s="52"/>
    </row>
    <row r="824" ht="15.75" customHeight="1">
      <c r="T824" s="52"/>
    </row>
    <row r="825" ht="15.75" customHeight="1">
      <c r="T825" s="52"/>
    </row>
    <row r="826" ht="15.75" customHeight="1">
      <c r="T826" s="52"/>
    </row>
    <row r="827" ht="15.75" customHeight="1">
      <c r="T827" s="52"/>
    </row>
    <row r="828" ht="15.75" customHeight="1">
      <c r="T828" s="52"/>
    </row>
    <row r="829" ht="15.75" customHeight="1">
      <c r="T829" s="52"/>
    </row>
    <row r="830" ht="15.75" customHeight="1">
      <c r="T830" s="52"/>
    </row>
    <row r="831" ht="15.75" customHeight="1">
      <c r="T831" s="52"/>
    </row>
    <row r="832" ht="15.75" customHeight="1">
      <c r="T832" s="52"/>
    </row>
    <row r="833" ht="15.75" customHeight="1">
      <c r="T833" s="52"/>
    </row>
    <row r="834" ht="15.75" customHeight="1">
      <c r="T834" s="52"/>
    </row>
    <row r="835" ht="15.75" customHeight="1">
      <c r="T835" s="52"/>
    </row>
    <row r="836" ht="15.75" customHeight="1">
      <c r="T836" s="52"/>
    </row>
    <row r="837" ht="15.75" customHeight="1">
      <c r="T837" s="52"/>
    </row>
    <row r="838" ht="15.75" customHeight="1">
      <c r="T838" s="52"/>
    </row>
    <row r="839" ht="15.75" customHeight="1">
      <c r="T839" s="52"/>
    </row>
    <row r="840" ht="15.75" customHeight="1">
      <c r="T840" s="52"/>
    </row>
    <row r="841" ht="15.75" customHeight="1">
      <c r="T841" s="52"/>
    </row>
    <row r="842" ht="15.75" customHeight="1">
      <c r="T842" s="52"/>
    </row>
    <row r="843" ht="15.75" customHeight="1">
      <c r="T843" s="52"/>
    </row>
    <row r="844" ht="15.75" customHeight="1">
      <c r="T844" s="52"/>
    </row>
    <row r="845" ht="15.75" customHeight="1">
      <c r="T845" s="52"/>
    </row>
    <row r="846" ht="15.75" customHeight="1">
      <c r="T846" s="52"/>
    </row>
    <row r="847" ht="15.75" customHeight="1">
      <c r="T847" s="52"/>
    </row>
    <row r="848" ht="15.75" customHeight="1">
      <c r="T848" s="52"/>
    </row>
    <row r="849" ht="15.75" customHeight="1">
      <c r="T849" s="52"/>
    </row>
    <row r="850" ht="15.75" customHeight="1">
      <c r="T850" s="52"/>
    </row>
    <row r="851" ht="15.75" customHeight="1">
      <c r="T851" s="52"/>
    </row>
    <row r="852" ht="15.75" customHeight="1">
      <c r="T852" s="52"/>
    </row>
    <row r="853" ht="15.75" customHeight="1">
      <c r="T853" s="52"/>
    </row>
    <row r="854" ht="15.75" customHeight="1">
      <c r="T854" s="52"/>
    </row>
    <row r="855" ht="15.75" customHeight="1">
      <c r="T855" s="52"/>
    </row>
    <row r="856" ht="15.75" customHeight="1">
      <c r="T856" s="52"/>
    </row>
    <row r="857" ht="15.75" customHeight="1">
      <c r="T857" s="52"/>
    </row>
    <row r="858" ht="15.75" customHeight="1">
      <c r="T858" s="52"/>
    </row>
    <row r="859" ht="15.75" customHeight="1">
      <c r="T859" s="52"/>
    </row>
    <row r="860" ht="15.75" customHeight="1">
      <c r="T860" s="52"/>
    </row>
    <row r="861" ht="15.75" customHeight="1">
      <c r="T861" s="52"/>
    </row>
    <row r="862" ht="15.75" customHeight="1">
      <c r="T862" s="52"/>
    </row>
    <row r="863" ht="15.75" customHeight="1">
      <c r="T863" s="52"/>
    </row>
    <row r="864" ht="15.75" customHeight="1">
      <c r="T864" s="52"/>
    </row>
    <row r="865" ht="15.75" customHeight="1">
      <c r="T865" s="52"/>
    </row>
    <row r="866" ht="15.75" customHeight="1">
      <c r="T866" s="52"/>
    </row>
    <row r="867" ht="15.75" customHeight="1">
      <c r="T867" s="52"/>
    </row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W9:AF11"/>
    <mergeCell ref="W13:AF15"/>
    <mergeCell ref="W17:AF19"/>
    <mergeCell ref="W21:AF23"/>
    <mergeCell ref="W25:AF27"/>
    <mergeCell ref="W29:AF31"/>
    <mergeCell ref="W33:AF35"/>
    <mergeCell ref="W37:AF39"/>
    <mergeCell ref="W41:AF43"/>
    <mergeCell ref="W45:AF47"/>
    <mergeCell ref="W49:AF51"/>
    <mergeCell ref="W53:AF55"/>
    <mergeCell ref="W57:AF59"/>
    <mergeCell ref="W61:AF63"/>
    <mergeCell ref="W65:AF67"/>
    <mergeCell ref="W69:AF71"/>
    <mergeCell ref="W73:AF75"/>
    <mergeCell ref="W77:AF79"/>
    <mergeCell ref="W81:AF83"/>
    <mergeCell ref="A90:C92"/>
    <mergeCell ref="A94:C96"/>
    <mergeCell ref="A98:C100"/>
    <mergeCell ref="A106:C108"/>
    <mergeCell ref="A110:C112"/>
    <mergeCell ref="B1:C2"/>
    <mergeCell ref="A30:C32"/>
    <mergeCell ref="A62:C64"/>
    <mergeCell ref="A66:C68"/>
    <mergeCell ref="W113:AF115"/>
    <mergeCell ref="W117:AF119"/>
    <mergeCell ref="W121:AF123"/>
    <mergeCell ref="W125:AF127"/>
    <mergeCell ref="W129:AF131"/>
    <mergeCell ref="W85:AF87"/>
    <mergeCell ref="W89:AF91"/>
    <mergeCell ref="W93:AF95"/>
    <mergeCell ref="W97:AF99"/>
    <mergeCell ref="W101:AF103"/>
    <mergeCell ref="W105:AF107"/>
    <mergeCell ref="W109:AF111"/>
  </mergeCells>
  <conditionalFormatting sqref="A9:V132">
    <cfRule type="expression" dxfId="0" priority="1">
      <formula>AND($D9&lt;&gt;"", ISEVEN(INT((ROW()-9)/4)))</formula>
    </cfRule>
  </conditionalFormatting>
  <conditionalFormatting sqref="A9:V132">
    <cfRule type="expression" dxfId="1" priority="2">
      <formula>AND($D9&lt;&gt;"", ISODD(INT((ROW()-9)/4)))</formula>
    </cfRule>
  </conditionalFormatting>
  <conditionalFormatting sqref="W9:AF132">
    <cfRule type="expression" dxfId="0" priority="3">
      <formula>AND($D9&lt;&gt;"", ISEVEN(INT((ROW()-9)/4)), COUNTA($W9:$AF9)&gt;0)</formula>
    </cfRule>
  </conditionalFormatting>
  <conditionalFormatting sqref="W9:AF132">
    <cfRule type="expression" dxfId="1" priority="4">
      <formula>AND($D9&lt;&gt;"", ISODD(INT((ROW()-9)/4)), COUNTA($W9:$AF9)&gt;0)</formula>
    </cfRule>
  </conditionalFormatting>
  <dataValidations>
    <dataValidation type="custom" allowBlank="1" showDropDown="1" sqref="T73:T867">
      <formula1/>
    </dataValidation>
    <dataValidation type="list" allowBlank="1" sqref="Q9:Q132">
      <formula1>"PASSED,DETAINED,PROMOTED"</formula1>
    </dataValidation>
  </dataValidations>
  <printOptions/>
  <pageMargins bottom="0.75" footer="0.0" header="0.0" left="0.7" right="0.7" top="0.75"/>
  <pageSetup orientation="landscape"/>
  <drawing r:id="rId1"/>
</worksheet>
</file>