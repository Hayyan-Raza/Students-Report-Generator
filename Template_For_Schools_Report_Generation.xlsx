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" sheetId="1" r:id="rId5"/>
  </sheets>
  <definedNames/>
  <calcPr/>
</workbook>
</file>

<file path=xl/sharedStrings.xml><?xml version="1.0" encoding="utf-8"?>
<sst xmlns="http://schemas.openxmlformats.org/spreadsheetml/2006/main" count="360" uniqueCount="67">
  <si>
    <t>Report Automation</t>
  </si>
  <si>
    <t>Class</t>
  </si>
  <si>
    <t>VI</t>
  </si>
  <si>
    <t>Total Working Days</t>
  </si>
  <si>
    <t>Section</t>
  </si>
  <si>
    <t>Jinnah</t>
  </si>
  <si>
    <t>CID</t>
  </si>
  <si>
    <t>Name</t>
  </si>
  <si>
    <t>Father’s Name</t>
  </si>
  <si>
    <t>Term</t>
  </si>
  <si>
    <t>Attended Days</t>
  </si>
  <si>
    <t>Islamiat</t>
  </si>
  <si>
    <t>English (Language)</t>
  </si>
  <si>
    <t>English (Literature)</t>
  </si>
  <si>
    <t>Mathematics</t>
  </si>
  <si>
    <t>Science</t>
  </si>
  <si>
    <t>Social Studies</t>
  </si>
  <si>
    <t>Urdu</t>
  </si>
  <si>
    <t>Computer</t>
  </si>
  <si>
    <t>Drawing</t>
  </si>
  <si>
    <t>Total</t>
  </si>
  <si>
    <t>Result</t>
  </si>
  <si>
    <t>Rank</t>
  </si>
  <si>
    <t>Total Marks</t>
  </si>
  <si>
    <t>Term %</t>
  </si>
  <si>
    <t>Grand %</t>
  </si>
  <si>
    <t>Class Teacher's Remarks</t>
  </si>
  <si>
    <t>Principal's Remarks</t>
  </si>
  <si>
    <t>Promotion Remarks</t>
  </si>
  <si>
    <t>Interaction with the Teacher</t>
  </si>
  <si>
    <t>Behaviour with the students</t>
  </si>
  <si>
    <t>Participation in co-curricular activities</t>
  </si>
  <si>
    <t>Punctuality / Regularity</t>
  </si>
  <si>
    <t>Neatness</t>
  </si>
  <si>
    <t>English Conversation</t>
  </si>
  <si>
    <t>Presentation / Project Work</t>
  </si>
  <si>
    <t>Hand Writing</t>
  </si>
  <si>
    <t>Home Assignment</t>
  </si>
  <si>
    <t>Conduct</t>
  </si>
  <si>
    <t>Anas Bilal</t>
  </si>
  <si>
    <t>Muhammad Bilal</t>
  </si>
  <si>
    <t>First Semester</t>
  </si>
  <si>
    <t>ABSENT</t>
  </si>
  <si>
    <t>A-1</t>
  </si>
  <si>
    <t>PASSED</t>
  </si>
  <si>
    <t>1st</t>
  </si>
  <si>
    <t>focus on studies</t>
  </si>
  <si>
    <t>Got Passing marks needs imporvement</t>
  </si>
  <si>
    <t>Passed and Promoted to Grade-V</t>
  </si>
  <si>
    <t>Second Semester</t>
  </si>
  <si>
    <t>Third Semester</t>
  </si>
  <si>
    <t>Fourth Semester</t>
  </si>
  <si>
    <t>A</t>
  </si>
  <si>
    <t>B</t>
  </si>
  <si>
    <t>C</t>
  </si>
  <si>
    <t>Faizan Haider</t>
  </si>
  <si>
    <t>Imran Ali</t>
  </si>
  <si>
    <t>Ali</t>
  </si>
  <si>
    <t>Hassan</t>
  </si>
  <si>
    <t>Kasim</t>
  </si>
  <si>
    <t>Bilal</t>
  </si>
  <si>
    <t>Muhammad Aslam</t>
  </si>
  <si>
    <t>Kashif</t>
  </si>
  <si>
    <t>Sadiq</t>
  </si>
  <si>
    <t>Anees</t>
  </si>
  <si>
    <t>Hussain</t>
  </si>
  <si>
    <t>Fayyaz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</si>
</sst>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sz val="19.0"/>
      <color rgb="FFFFFFFF"/>
      <name val="Arial"/>
    </font>
    <font/>
    <font>
      <sz val="18.0"/>
      <color theme="1"/>
      <name val="Arial"/>
    </font>
    <font>
      <sz val="19.0"/>
      <color theme="1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b/>
      <sz val="10.0"/>
      <color theme="1"/>
      <name val="Arial"/>
    </font>
    <font>
      <b/>
      <color rgb="FFFFFFFF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73F6B"/>
        <bgColor rgb="FF373F6B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4A568D"/>
      </left>
      <right style="thin">
        <color rgb="FF4A568D"/>
      </right>
      <top style="medium">
        <color rgb="FF4A568D"/>
      </top>
      <bottom style="thin">
        <color rgb="FF4A568D"/>
      </bottom>
    </border>
    <border>
      <left style="thin">
        <color rgb="FF4A568D"/>
      </left>
      <right style="medium">
        <color rgb="FF4A568D"/>
      </right>
      <top style="medium">
        <color rgb="FF4A568D"/>
      </top>
      <bottom style="thin">
        <color rgb="FF4A568D"/>
      </bottom>
    </border>
    <border>
      <left style="medium">
        <color rgb="FF4A568D"/>
      </left>
      <right/>
      <top style="medium">
        <color rgb="FF4A568D"/>
      </top>
      <bottom style="medium">
        <color rgb="FF4A568D"/>
      </bottom>
    </border>
    <border>
      <left/>
      <right style="medium">
        <color rgb="FF4A568D"/>
      </right>
      <top style="medium">
        <color rgb="FF4A568D"/>
      </top>
      <bottom style="medium">
        <color rgb="FF4A568D"/>
      </bottom>
    </border>
    <border>
      <left style="medium">
        <color rgb="FF4A568D"/>
      </left>
      <right style="thin">
        <color rgb="FF4A568D"/>
      </right>
      <top style="thin">
        <color rgb="FF4A568D"/>
      </top>
      <bottom style="medium">
        <color rgb="FF4A568D"/>
      </bottom>
    </border>
    <border>
      <left style="thin">
        <color rgb="FF4A568D"/>
      </left>
      <right style="medium">
        <color rgb="FF4A568D"/>
      </right>
      <top style="thin">
        <color rgb="FF4A568D"/>
      </top>
      <bottom style="medium">
        <color rgb="FF4A568D"/>
      </bottom>
    </border>
    <border>
      <left style="thin">
        <color rgb="FF292F50"/>
      </left>
      <right style="thin">
        <color rgb="FF373F6B"/>
      </right>
      <top style="thin">
        <color rgb="FF292F50"/>
      </top>
    </border>
    <border>
      <left style="thin">
        <color rgb="FF373F6B"/>
      </left>
      <right style="thin">
        <color rgb="FF373F6B"/>
      </right>
      <top style="thin">
        <color rgb="FF292F50"/>
      </top>
    </border>
    <border>
      <left style="thin">
        <color rgb="FF373F6B"/>
      </left>
      <top style="thin">
        <color rgb="FF292F5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0" fontId="4" numFmtId="0" xfId="0" applyAlignment="1" applyFont="1">
      <alignment horizontal="center"/>
    </xf>
    <xf borderId="3" fillId="0" fontId="5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0" fontId="5" numFmtId="0" xfId="0" applyAlignment="1" applyBorder="1" applyFont="1">
      <alignment horizontal="center" readingOrder="0" vertical="center"/>
    </xf>
    <xf borderId="7" fillId="2" fontId="6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horizontal="center" readingOrder="0"/>
    </xf>
    <xf borderId="9" fillId="2" fontId="7" numFmtId="0" xfId="0" applyAlignment="1" applyBorder="1" applyFill="1" applyFont="1">
      <alignment horizontal="center"/>
    </xf>
    <xf borderId="10" fillId="3" fontId="1" numFmtId="0" xfId="0" applyAlignment="1" applyBorder="1" applyFill="1" applyFont="1">
      <alignment horizontal="center"/>
    </xf>
    <xf borderId="11" fillId="2" fontId="7" numFmtId="0" xfId="0" applyAlignment="1" applyBorder="1" applyFill="1" applyFont="1">
      <alignment horizontal="center"/>
    </xf>
    <xf borderId="12" fillId="3" fontId="1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13" fillId="2" fontId="6" numFmtId="0" xfId="0" applyAlignment="1" applyBorder="1" applyFill="1" applyFont="1">
      <alignment horizontal="center" vertical="center"/>
    </xf>
    <xf borderId="14" fillId="2" fontId="6" numFmtId="0" xfId="0" applyAlignment="1" applyBorder="1" applyFill="1" applyFont="1">
      <alignment horizontal="center" vertical="center"/>
    </xf>
    <xf borderId="15" fillId="2" fontId="6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horizontal="center" vertical="center"/>
    </xf>
    <xf borderId="14" fillId="2" fontId="6" numFmtId="0" xfId="0" applyAlignment="1" applyBorder="1" applyFill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4" fontId="10" numFmtId="0" xfId="0" applyAlignment="1" applyFill="1" applyFont="1">
      <alignment horizontal="center" shrinkToFit="0" vertical="center" wrapText="1"/>
    </xf>
    <xf borderId="0" fillId="4" fontId="10" numFmtId="0" xfId="0" applyAlignment="1" applyFill="1" applyFont="1">
      <alignment shrinkToFit="0" vertical="center" wrapText="1"/>
    </xf>
    <xf borderId="0" fillId="4" fontId="10" numFmtId="0" xfId="0" applyAlignment="1" applyFill="1" applyFont="1">
      <alignment horizontal="center" readingOrder="0" vertical="center"/>
    </xf>
    <xf borderId="0" fillId="4" fontId="10" numFmtId="0" xfId="0" applyAlignment="1" applyFill="1" applyFont="1">
      <alignment horizontal="center" vertical="center"/>
    </xf>
    <xf borderId="0" fillId="4" fontId="10" numFmtId="2" xfId="0" applyAlignment="1" applyFill="1" applyFont="1" applyNumberFormat="1">
      <alignment horizontal="center" readingOrder="0" vertical="center"/>
    </xf>
    <xf borderId="0" fillId="4" fontId="10" numFmtId="2" xfId="0" applyAlignment="1" applyFill="1" applyFont="1" applyNumberFormat="1">
      <alignment horizontal="center" vertical="center"/>
    </xf>
    <xf borderId="0" fillId="5" fontId="10" numFmtId="0" xfId="0" applyAlignment="1" applyFill="1" applyFont="1">
      <alignment horizontal="center" readingOrder="0" vertical="center"/>
    </xf>
    <xf borderId="0" fillId="5" fontId="10" numFmtId="10" xfId="0" applyAlignment="1" applyFill="1" applyFont="1" applyNumberFormat="1">
      <alignment vertical="center"/>
    </xf>
    <xf borderId="0" fillId="5" fontId="1" numFmtId="0" xfId="0" applyAlignment="1" applyFill="1" applyFont="1">
      <alignment horizontal="center"/>
    </xf>
    <xf borderId="16" fillId="4" fontId="10" numFmtId="0" xfId="0" applyAlignment="1" applyBorder="1" applyFill="1" applyFont="1">
      <alignment horizontal="center" shrinkToFit="0" vertical="center" wrapText="1"/>
    </xf>
    <xf borderId="17" fillId="4" fontId="10" numFmtId="0" xfId="0" applyAlignment="1" applyBorder="1" applyFill="1" applyFont="1">
      <alignment horizontal="center" shrinkToFit="0" vertical="center" wrapText="1"/>
    </xf>
    <xf borderId="18" fillId="4" fontId="10" numFmtId="0" xfId="0" applyAlignment="1" applyBorder="1" applyFill="1" applyFont="1">
      <alignment horizontal="center" shrinkToFit="0" vertical="center" wrapText="1"/>
    </xf>
    <xf borderId="0" fillId="4" fontId="10" numFmtId="10" xfId="0" applyAlignment="1" applyFill="1" applyFont="1" applyNumberFormat="1">
      <alignment vertical="center"/>
    </xf>
    <xf borderId="19" fillId="5" fontId="10" numFmtId="0" xfId="0" applyAlignment="1" applyBorder="1" applyFill="1" applyFont="1">
      <alignment horizontal="center" shrinkToFit="0" vertical="center" wrapText="1"/>
    </xf>
    <xf borderId="0" fillId="5" fontId="10" numFmtId="0" xfId="0" applyAlignment="1" applyFill="1" applyFont="1">
      <alignment horizontal="center" shrinkToFit="0" vertical="center" wrapText="1"/>
    </xf>
    <xf borderId="20" fillId="5" fontId="10" numFmtId="0" xfId="0" applyAlignment="1" applyBorder="1" applyFill="1" applyFont="1">
      <alignment horizontal="center" shrinkToFit="0" vertical="center" wrapText="1"/>
    </xf>
    <xf borderId="21" fillId="4" fontId="10" numFmtId="0" xfId="0" applyAlignment="1" applyBorder="1" applyFill="1" applyFont="1">
      <alignment horizontal="center" shrinkToFit="0" vertical="center" wrapText="1"/>
    </xf>
    <xf borderId="22" fillId="4" fontId="10" numFmtId="0" xfId="0" applyAlignment="1" applyBorder="1" applyFill="1" applyFont="1">
      <alignment horizontal="center" shrinkToFit="0" vertical="center" wrapText="1"/>
    </xf>
    <xf borderId="23" fillId="4" fontId="10" numFmtId="0" xfId="0" applyAlignment="1" applyBorder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/>
    </xf>
    <xf borderId="0" fillId="4" fontId="10" numFmtId="0" xfId="0" applyAlignment="1" applyFill="1" applyFont="1">
      <alignment horizontal="center" readingOrder="0" shrinkToFit="0" vertical="center" wrapText="1"/>
    </xf>
    <xf borderId="0" fillId="4" fontId="10" numFmtId="0" xfId="0" applyAlignment="1" applyFill="1" applyFont="1">
      <alignment readingOrder="0" shrinkToFit="0" vertical="center" wrapText="1"/>
    </xf>
    <xf borderId="0" fillId="5" fontId="10" numFmtId="0" xfId="0" applyAlignment="1" applyFill="1" applyFont="1">
      <alignment shrinkToFit="0" vertical="center" wrapText="1"/>
    </xf>
    <xf borderId="0" fillId="5" fontId="11" numFmtId="0" xfId="0" applyFill="1" applyFont="1"/>
    <xf borderId="0" fillId="5" fontId="1" numFmtId="0" xfId="0" applyAlignment="1" applyFill="1" applyFont="1">
      <alignment horizontal="center" vertical="center"/>
    </xf>
    <xf borderId="0" fillId="5" fontId="1" numFmtId="10" xfId="0" applyAlignment="1" applyFill="1" applyFont="1" applyNumberFormat="1">
      <alignment vertical="center"/>
    </xf>
    <xf borderId="0" fillId="4" fontId="11" numFmtId="0" xfId="0" applyFill="1" applyFont="1"/>
    <xf borderId="0" fillId="4" fontId="1" numFmtId="0" xfId="0" applyAlignment="1" applyFill="1" applyFont="1">
      <alignment horizontal="center" vertical="center"/>
    </xf>
    <xf borderId="0" fillId="4" fontId="1" numFmtId="10" xfId="0" applyAlignment="1" applyFill="1" applyFont="1" applyNumberFormat="1">
      <alignment vertical="center"/>
    </xf>
    <xf borderId="0" fillId="4" fontId="10" numFmtId="0" xfId="0" applyFill="1" applyFont="1"/>
    <xf borderId="0" fillId="5" fontId="10" numFmtId="0" xfId="0" applyFill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5.38"/>
    <col customWidth="1" min="2" max="2" width="23.38"/>
    <col customWidth="1" min="3" max="3" width="24.0"/>
    <col customWidth="1" min="4" max="4" width="15.38"/>
    <col customWidth="1" min="5" max="5" width="16.25"/>
    <col customWidth="1" min="6" max="6" width="15.38"/>
    <col customWidth="1" min="7" max="7" width="19.75"/>
    <col customWidth="1" min="8" max="8" width="19.38"/>
    <col customWidth="1" min="9" max="10" width="15.38"/>
    <col customWidth="1" min="11" max="11" width="16.0"/>
    <col customWidth="1" min="12" max="14" width="15.38"/>
    <col customWidth="1" min="16" max="16" width="16.63"/>
    <col customWidth="1" min="17" max="17" width="13.13"/>
    <col customWidth="1" min="18" max="18" width="15.63"/>
    <col customWidth="1" min="19" max="19" width="14.25"/>
    <col customWidth="1" min="20" max="20" width="14.88"/>
    <col customWidth="1" min="21" max="21" width="25.25"/>
    <col customWidth="1" min="22" max="22" width="37.88"/>
    <col customWidth="1" min="23" max="23" width="42.63"/>
    <col customWidth="1" min="24" max="24" width="26.5"/>
    <col customWidth="1" min="25" max="25" width="23.75"/>
    <col customWidth="1" min="26" max="26" width="36.88"/>
    <col customWidth="1" min="27" max="27" width="23.0"/>
    <col customWidth="1" min="29" max="29" width="20.75"/>
    <col customWidth="1" min="30" max="30" width="26.88"/>
    <col customWidth="1" min="31" max="31" width="15.75"/>
    <col customWidth="1" min="32" max="32" width="19.63"/>
  </cols>
  <sheetData>
    <row r="1" ht="15.75" customHeight="1">
      <c r="A1" s="1"/>
      <c r="B1" s="2" t="s">
        <v>0</v>
      </c>
      <c r="C1" s="3"/>
      <c r="D1" s="4"/>
      <c r="E1" s="5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5.75" customHeight="1">
      <c r="A2" s="1"/>
      <c r="B2" s="6"/>
      <c r="C2" s="7"/>
      <c r="D2" s="4"/>
      <c r="E2" s="8"/>
      <c r="F2" s="4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ht="15.75" customHeight="1">
      <c r="A3" s="1"/>
      <c r="B3" s="1"/>
      <c r="C3" s="1"/>
      <c r="D3" s="1"/>
      <c r="E3" s="1"/>
      <c r="F3" s="9" t="s">
        <v>1</v>
      </c>
      <c r="G3" s="10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ht="15.75" customHeight="1">
      <c r="A4" s="1"/>
      <c r="B4" s="11" t="s">
        <v>3</v>
      </c>
      <c r="C4" s="12">
        <v>83.0</v>
      </c>
      <c r="D4" s="1"/>
      <c r="E4" s="1"/>
      <c r="F4" s="13" t="s">
        <v>4</v>
      </c>
      <c r="G4" s="14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ht="24.75" customHeight="1">
      <c r="A8" s="16" t="s">
        <v>6</v>
      </c>
      <c r="B8" s="17" t="s">
        <v>7</v>
      </c>
      <c r="C8" s="17" t="s">
        <v>8</v>
      </c>
      <c r="D8" s="17" t="s">
        <v>9</v>
      </c>
      <c r="E8" s="17" t="s">
        <v>10</v>
      </c>
      <c r="F8" s="17" t="s">
        <v>11</v>
      </c>
      <c r="G8" s="17" t="s">
        <v>12</v>
      </c>
      <c r="H8" s="17" t="s">
        <v>13</v>
      </c>
      <c r="I8" s="17" t="s">
        <v>14</v>
      </c>
      <c r="J8" s="17" t="s">
        <v>15</v>
      </c>
      <c r="K8" s="17" t="s">
        <v>16</v>
      </c>
      <c r="L8" s="17" t="s">
        <v>17</v>
      </c>
      <c r="M8" s="17" t="s">
        <v>18</v>
      </c>
      <c r="N8" s="17" t="s">
        <v>19</v>
      </c>
      <c r="O8" s="17" t="s">
        <v>20</v>
      </c>
      <c r="P8" s="17" t="s">
        <v>21</v>
      </c>
      <c r="Q8" s="18" t="s">
        <v>22</v>
      </c>
      <c r="R8" s="19" t="s">
        <v>23</v>
      </c>
      <c r="S8" s="19" t="s">
        <v>24</v>
      </c>
      <c r="T8" s="19" t="s">
        <v>25</v>
      </c>
      <c r="U8" s="17" t="s">
        <v>26</v>
      </c>
      <c r="V8" s="20" t="s">
        <v>27</v>
      </c>
      <c r="W8" s="17" t="s">
        <v>28</v>
      </c>
      <c r="X8" s="21" t="s">
        <v>29</v>
      </c>
      <c r="Y8" s="21" t="s">
        <v>30</v>
      </c>
      <c r="Z8" s="21" t="s">
        <v>31</v>
      </c>
      <c r="AA8" s="21" t="s">
        <v>32</v>
      </c>
      <c r="AB8" s="21" t="s">
        <v>33</v>
      </c>
      <c r="AC8" s="21" t="s">
        <v>34</v>
      </c>
      <c r="AD8" s="21" t="s">
        <v>35</v>
      </c>
      <c r="AE8" s="21" t="s">
        <v>36</v>
      </c>
      <c r="AF8" s="21" t="s">
        <v>37</v>
      </c>
      <c r="AG8" s="21" t="s">
        <v>38</v>
      </c>
      <c r="AH8" s="22"/>
      <c r="AI8" s="22"/>
      <c r="AJ8" s="23"/>
      <c r="AK8" s="23"/>
      <c r="AL8" s="23"/>
      <c r="AM8" s="23"/>
      <c r="AN8" s="23"/>
      <c r="AO8" s="23"/>
      <c r="AP8" s="23"/>
      <c r="AQ8" s="23"/>
    </row>
    <row r="9" ht="15.75" customHeight="1">
      <c r="A9" s="24">
        <v>11742.0</v>
      </c>
      <c r="B9" s="25" t="s">
        <v>39</v>
      </c>
      <c r="C9" s="25" t="s">
        <v>40</v>
      </c>
      <c r="D9" s="26" t="s">
        <v>41</v>
      </c>
      <c r="E9" s="27">
        <v>42.0</v>
      </c>
      <c r="F9" s="28">
        <v>100.0</v>
      </c>
      <c r="G9" s="28" t="s">
        <v>42</v>
      </c>
      <c r="H9" s="28">
        <v>100.0</v>
      </c>
      <c r="I9" s="28">
        <v>100.0</v>
      </c>
      <c r="J9" s="28">
        <v>100.0</v>
      </c>
      <c r="K9" s="28">
        <v>100.0</v>
      </c>
      <c r="L9" s="28">
        <v>100.0</v>
      </c>
      <c r="M9" s="28">
        <v>100.0</v>
      </c>
      <c r="N9" s="27" t="s">
        <v>43</v>
      </c>
      <c r="O9" s="29">
        <f t="shared" ref="O9:O40" si="1">SUM(F9:N9)</f>
        <v>700</v>
      </c>
      <c r="P9" s="26" t="s">
        <v>44</v>
      </c>
      <c r="Q9" s="26" t="s">
        <v>45</v>
      </c>
      <c r="R9" s="30">
        <v>900.0</v>
      </c>
      <c r="S9" s="31">
        <f t="shared" ref="S9:S40" si="2">(O9/R9)</f>
        <v>0.7777777778</v>
      </c>
      <c r="T9" s="31">
        <f t="shared" ref="T9:T13" si="3">(O9+O12)/(R9+R12)</f>
        <v>0.8333333333</v>
      </c>
      <c r="U9" s="26" t="s">
        <v>46</v>
      </c>
      <c r="V9" s="26" t="s">
        <v>47</v>
      </c>
      <c r="W9" s="27" t="s">
        <v>48</v>
      </c>
      <c r="X9" s="32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ht="15.75" customHeight="1">
      <c r="A10" s="33"/>
      <c r="B10" s="34"/>
      <c r="C10" s="35"/>
      <c r="D10" s="26" t="s">
        <v>49</v>
      </c>
      <c r="E10" s="27">
        <v>42.0</v>
      </c>
      <c r="F10" s="28">
        <v>100.0</v>
      </c>
      <c r="G10" s="28">
        <v>100.0</v>
      </c>
      <c r="H10" s="28">
        <v>100.0</v>
      </c>
      <c r="I10" s="28">
        <v>100.0</v>
      </c>
      <c r="J10" s="28">
        <v>100.0</v>
      </c>
      <c r="K10" s="28">
        <v>100.0</v>
      </c>
      <c r="L10" s="28">
        <v>100.0</v>
      </c>
      <c r="M10" s="28">
        <v>100.0</v>
      </c>
      <c r="N10" s="27" t="s">
        <v>43</v>
      </c>
      <c r="O10" s="29">
        <f t="shared" si="1"/>
        <v>800</v>
      </c>
      <c r="P10" s="27" t="s">
        <v>44</v>
      </c>
      <c r="Q10" s="26" t="s">
        <v>45</v>
      </c>
      <c r="R10" s="26">
        <v>900.0</v>
      </c>
      <c r="S10" s="36">
        <f t="shared" si="2"/>
        <v>0.8888888889</v>
      </c>
      <c r="T10" s="36">
        <f t="shared" si="3"/>
        <v>0.8523611111</v>
      </c>
      <c r="U10" s="26" t="s">
        <v>46</v>
      </c>
      <c r="V10" s="26" t="s">
        <v>47</v>
      </c>
      <c r="W10" s="27" t="s">
        <v>48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ht="15.75" customHeight="1">
      <c r="A11" s="37"/>
      <c r="B11" s="38"/>
      <c r="C11" s="39"/>
      <c r="D11" s="26" t="s">
        <v>50</v>
      </c>
      <c r="E11" s="27">
        <v>42.0</v>
      </c>
      <c r="F11" s="28">
        <v>100.0</v>
      </c>
      <c r="G11" s="28">
        <v>100.0</v>
      </c>
      <c r="H11" s="28">
        <v>100.0</v>
      </c>
      <c r="I11" s="28">
        <v>100.0</v>
      </c>
      <c r="J11" s="28">
        <v>100.0</v>
      </c>
      <c r="K11" s="28">
        <v>100.0</v>
      </c>
      <c r="L11" s="28">
        <v>100.0</v>
      </c>
      <c r="M11" s="28">
        <v>100.0</v>
      </c>
      <c r="N11" s="27" t="s">
        <v>43</v>
      </c>
      <c r="O11" s="29">
        <f t="shared" si="1"/>
        <v>800</v>
      </c>
      <c r="P11" s="27" t="s">
        <v>44</v>
      </c>
      <c r="Q11" s="26" t="s">
        <v>45</v>
      </c>
      <c r="R11" s="30">
        <v>900.0</v>
      </c>
      <c r="S11" s="31">
        <f t="shared" si="2"/>
        <v>0.8888888889</v>
      </c>
      <c r="T11" s="31">
        <f t="shared" si="3"/>
        <v>0.8523611111</v>
      </c>
      <c r="U11" s="26" t="s">
        <v>46</v>
      </c>
      <c r="V11" s="26" t="s">
        <v>47</v>
      </c>
      <c r="W11" s="27" t="s">
        <v>48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ht="15.75" customHeight="1">
      <c r="A12" s="40"/>
      <c r="B12" s="41"/>
      <c r="C12" s="42"/>
      <c r="D12" s="26" t="s">
        <v>51</v>
      </c>
      <c r="E12" s="27">
        <v>42.0</v>
      </c>
      <c r="F12" s="28">
        <v>100.0</v>
      </c>
      <c r="G12" s="28">
        <v>100.0</v>
      </c>
      <c r="H12" s="28">
        <v>100.0</v>
      </c>
      <c r="I12" s="28">
        <v>100.0</v>
      </c>
      <c r="J12" s="28">
        <v>100.0</v>
      </c>
      <c r="K12" s="28">
        <v>100.0</v>
      </c>
      <c r="L12" s="28">
        <v>100.0</v>
      </c>
      <c r="M12" s="28">
        <v>100.0</v>
      </c>
      <c r="N12" s="27" t="s">
        <v>43</v>
      </c>
      <c r="O12" s="29">
        <f t="shared" si="1"/>
        <v>800</v>
      </c>
      <c r="P12" s="27" t="s">
        <v>44</v>
      </c>
      <c r="Q12" s="26" t="s">
        <v>45</v>
      </c>
      <c r="R12" s="26">
        <v>900.0</v>
      </c>
      <c r="S12" s="36">
        <f t="shared" si="2"/>
        <v>0.8888888889</v>
      </c>
      <c r="T12" s="36">
        <f t="shared" si="3"/>
        <v>0.8523611111</v>
      </c>
      <c r="U12" s="26" t="s">
        <v>46</v>
      </c>
      <c r="V12" s="26" t="s">
        <v>47</v>
      </c>
      <c r="W12" s="27" t="s">
        <v>48</v>
      </c>
      <c r="X12" s="43" t="s">
        <v>52</v>
      </c>
      <c r="Y12" s="43" t="s">
        <v>52</v>
      </c>
      <c r="Z12" s="43" t="s">
        <v>52</v>
      </c>
      <c r="AA12" s="43" t="s">
        <v>52</v>
      </c>
      <c r="AB12" s="43" t="s">
        <v>53</v>
      </c>
      <c r="AC12" s="43" t="s">
        <v>52</v>
      </c>
      <c r="AD12" s="43" t="s">
        <v>52</v>
      </c>
      <c r="AE12" s="43" t="s">
        <v>52</v>
      </c>
      <c r="AF12" s="43" t="s">
        <v>52</v>
      </c>
      <c r="AG12" s="43" t="s">
        <v>54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ht="15.75" customHeight="1">
      <c r="A13" s="44">
        <v>11743.0</v>
      </c>
      <c r="B13" s="45" t="s">
        <v>55</v>
      </c>
      <c r="C13" s="45" t="s">
        <v>56</v>
      </c>
      <c r="D13" s="26" t="s">
        <v>41</v>
      </c>
      <c r="E13" s="27">
        <v>42.0</v>
      </c>
      <c r="F13" s="29">
        <v>34.25</v>
      </c>
      <c r="G13" s="28">
        <v>100.0</v>
      </c>
      <c r="H13" s="28">
        <v>100.0</v>
      </c>
      <c r="I13" s="28">
        <v>100.0</v>
      </c>
      <c r="J13" s="28">
        <v>100.0</v>
      </c>
      <c r="K13" s="28">
        <v>100.0</v>
      </c>
      <c r="L13" s="28">
        <v>100.0</v>
      </c>
      <c r="M13" s="28">
        <v>100.0</v>
      </c>
      <c r="N13" s="27" t="s">
        <v>43</v>
      </c>
      <c r="O13" s="29">
        <f t="shared" si="1"/>
        <v>734.25</v>
      </c>
      <c r="P13" s="27" t="s">
        <v>44</v>
      </c>
      <c r="Q13" s="26" t="s">
        <v>45</v>
      </c>
      <c r="R13" s="30">
        <v>900.0</v>
      </c>
      <c r="S13" s="31">
        <f t="shared" si="2"/>
        <v>0.8158333333</v>
      </c>
      <c r="T13" s="31">
        <f t="shared" si="3"/>
        <v>0.8158333333</v>
      </c>
      <c r="U13" s="26" t="s">
        <v>46</v>
      </c>
      <c r="V13" s="26" t="s">
        <v>47</v>
      </c>
      <c r="W13" s="27" t="s">
        <v>48</v>
      </c>
      <c r="X13" s="32"/>
    </row>
    <row r="14" ht="15.75" customHeight="1">
      <c r="A14" s="38"/>
      <c r="D14" s="26" t="s">
        <v>49</v>
      </c>
      <c r="E14" s="27">
        <v>42.0</v>
      </c>
      <c r="F14" s="29">
        <v>34.25</v>
      </c>
      <c r="G14" s="28">
        <v>100.0</v>
      </c>
      <c r="H14" s="28">
        <v>100.0</v>
      </c>
      <c r="I14" s="28">
        <v>100.0</v>
      </c>
      <c r="J14" s="28">
        <v>100.0</v>
      </c>
      <c r="K14" s="28">
        <v>100.0</v>
      </c>
      <c r="L14" s="28">
        <v>100.0</v>
      </c>
      <c r="M14" s="28">
        <v>100.0</v>
      </c>
      <c r="N14" s="27" t="s">
        <v>43</v>
      </c>
      <c r="O14" s="29">
        <f t="shared" si="1"/>
        <v>734.25</v>
      </c>
      <c r="P14" s="27" t="s">
        <v>44</v>
      </c>
      <c r="Q14" s="26" t="s">
        <v>45</v>
      </c>
      <c r="R14" s="26">
        <v>900.0</v>
      </c>
      <c r="S14" s="36">
        <f t="shared" si="2"/>
        <v>0.8158333333</v>
      </c>
      <c r="T14" s="36" t="str">
        <f t="shared" ref="T14:T15" si="4">(O14+#REF!)/(R14+#REF!)</f>
        <v>#REF!</v>
      </c>
      <c r="U14" s="26" t="s">
        <v>46</v>
      </c>
      <c r="V14" s="26" t="s">
        <v>47</v>
      </c>
      <c r="W14" s="27" t="s">
        <v>48</v>
      </c>
    </row>
    <row r="15" ht="15.75" customHeight="1">
      <c r="D15" s="26" t="s">
        <v>50</v>
      </c>
      <c r="E15" s="27">
        <v>42.0</v>
      </c>
      <c r="F15" s="29">
        <v>34.25</v>
      </c>
      <c r="G15" s="28">
        <v>100.0</v>
      </c>
      <c r="H15" s="28">
        <v>100.0</v>
      </c>
      <c r="I15" s="28">
        <v>100.0</v>
      </c>
      <c r="J15" s="28">
        <v>100.0</v>
      </c>
      <c r="K15" s="28">
        <v>100.0</v>
      </c>
      <c r="L15" s="28">
        <v>100.0</v>
      </c>
      <c r="M15" s="28">
        <v>100.0</v>
      </c>
      <c r="N15" s="27" t="s">
        <v>43</v>
      </c>
      <c r="O15" s="29">
        <f t="shared" si="1"/>
        <v>734.25</v>
      </c>
      <c r="P15" s="27" t="s">
        <v>44</v>
      </c>
      <c r="Q15" s="26" t="s">
        <v>45</v>
      </c>
      <c r="R15" s="30">
        <v>900.0</v>
      </c>
      <c r="S15" s="31">
        <f t="shared" si="2"/>
        <v>0.8158333333</v>
      </c>
      <c r="T15" s="31" t="str">
        <f t="shared" si="4"/>
        <v>#REF!</v>
      </c>
      <c r="U15" s="26" t="s">
        <v>46</v>
      </c>
      <c r="V15" s="26" t="s">
        <v>47</v>
      </c>
      <c r="W15" s="27" t="s">
        <v>48</v>
      </c>
    </row>
    <row r="16" ht="15.75" customHeight="1">
      <c r="D16" s="26" t="s">
        <v>51</v>
      </c>
      <c r="E16" s="27">
        <v>42.0</v>
      </c>
      <c r="F16" s="29">
        <v>34.25</v>
      </c>
      <c r="G16" s="28">
        <v>100.0</v>
      </c>
      <c r="H16" s="28">
        <v>100.0</v>
      </c>
      <c r="I16" s="28">
        <v>100.0</v>
      </c>
      <c r="J16" s="28">
        <v>100.0</v>
      </c>
      <c r="K16" s="28">
        <v>100.0</v>
      </c>
      <c r="L16" s="28">
        <v>100.0</v>
      </c>
      <c r="M16" s="28">
        <v>100.0</v>
      </c>
      <c r="N16" s="27" t="s">
        <v>43</v>
      </c>
      <c r="O16" s="29">
        <f t="shared" si="1"/>
        <v>734.25</v>
      </c>
      <c r="P16" s="27" t="s">
        <v>44</v>
      </c>
      <c r="Q16" s="26" t="s">
        <v>45</v>
      </c>
      <c r="R16" s="26">
        <v>900.0</v>
      </c>
      <c r="S16" s="36">
        <f t="shared" si="2"/>
        <v>0.8158333333</v>
      </c>
      <c r="T16" s="36">
        <f>(O16+O17)/(R16+R17)</f>
        <v>0.8158333333</v>
      </c>
      <c r="U16" s="26" t="s">
        <v>46</v>
      </c>
      <c r="V16" s="26" t="s">
        <v>47</v>
      </c>
      <c r="W16" s="27" t="s">
        <v>48</v>
      </c>
      <c r="X16" s="43" t="s">
        <v>52</v>
      </c>
      <c r="Y16" s="43" t="s">
        <v>52</v>
      </c>
      <c r="Z16" s="43" t="s">
        <v>52</v>
      </c>
      <c r="AA16" s="43" t="s">
        <v>52</v>
      </c>
      <c r="AB16" s="43" t="s">
        <v>53</v>
      </c>
      <c r="AC16" s="43" t="s">
        <v>52</v>
      </c>
      <c r="AD16" s="43" t="s">
        <v>52</v>
      </c>
      <c r="AE16" s="43" t="s">
        <v>52</v>
      </c>
      <c r="AF16" s="43" t="s">
        <v>52</v>
      </c>
      <c r="AG16" s="43" t="s">
        <v>54</v>
      </c>
    </row>
    <row r="17" ht="15.75" customHeight="1">
      <c r="A17" s="44">
        <v>11744.0</v>
      </c>
      <c r="B17" s="45" t="s">
        <v>57</v>
      </c>
      <c r="C17" s="45" t="s">
        <v>58</v>
      </c>
      <c r="D17" s="26" t="s">
        <v>41</v>
      </c>
      <c r="E17" s="27">
        <v>42.0</v>
      </c>
      <c r="F17" s="29">
        <v>34.25</v>
      </c>
      <c r="G17" s="28">
        <v>100.0</v>
      </c>
      <c r="H17" s="28">
        <v>100.0</v>
      </c>
      <c r="I17" s="28">
        <v>100.0</v>
      </c>
      <c r="J17" s="28">
        <v>100.0</v>
      </c>
      <c r="K17" s="28">
        <v>100.0</v>
      </c>
      <c r="L17" s="28">
        <v>100.0</v>
      </c>
      <c r="M17" s="28">
        <v>100.0</v>
      </c>
      <c r="N17" s="27" t="s">
        <v>43</v>
      </c>
      <c r="O17" s="29">
        <f t="shared" si="1"/>
        <v>734.25</v>
      </c>
      <c r="P17" s="27" t="s">
        <v>44</v>
      </c>
      <c r="Q17" s="26" t="s">
        <v>45</v>
      </c>
      <c r="R17" s="30">
        <v>900.0</v>
      </c>
      <c r="S17" s="31">
        <f t="shared" si="2"/>
        <v>0.8158333333</v>
      </c>
      <c r="T17" s="31">
        <f t="shared" ref="T17:T21" si="5">(O17+O20)/(R17+R20)</f>
        <v>0.8158333333</v>
      </c>
      <c r="U17" s="26" t="s">
        <v>46</v>
      </c>
      <c r="V17" s="26" t="s">
        <v>47</v>
      </c>
      <c r="W17" s="27" t="s">
        <v>48</v>
      </c>
      <c r="X17" s="32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ht="15.75" customHeight="1">
      <c r="A18" s="38"/>
      <c r="D18" s="26" t="s">
        <v>49</v>
      </c>
      <c r="E18" s="27">
        <v>42.0</v>
      </c>
      <c r="F18" s="29">
        <v>34.25</v>
      </c>
      <c r="G18" s="28">
        <v>100.0</v>
      </c>
      <c r="H18" s="28">
        <v>100.0</v>
      </c>
      <c r="I18" s="28">
        <v>100.0</v>
      </c>
      <c r="J18" s="28">
        <v>100.0</v>
      </c>
      <c r="K18" s="28">
        <v>100.0</v>
      </c>
      <c r="L18" s="28">
        <v>100.0</v>
      </c>
      <c r="M18" s="28">
        <v>100.0</v>
      </c>
      <c r="N18" s="27" t="s">
        <v>43</v>
      </c>
      <c r="O18" s="29">
        <f t="shared" si="1"/>
        <v>734.25</v>
      </c>
      <c r="P18" s="27" t="s">
        <v>44</v>
      </c>
      <c r="Q18" s="26" t="s">
        <v>45</v>
      </c>
      <c r="R18" s="26">
        <v>900.0</v>
      </c>
      <c r="S18" s="36">
        <f t="shared" si="2"/>
        <v>0.8158333333</v>
      </c>
      <c r="T18" s="36">
        <f t="shared" si="5"/>
        <v>0.8158333333</v>
      </c>
      <c r="U18" s="26" t="s">
        <v>46</v>
      </c>
      <c r="V18" s="26" t="s">
        <v>47</v>
      </c>
      <c r="W18" s="27" t="s">
        <v>48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ht="15.75" customHeight="1">
      <c r="D19" s="26" t="s">
        <v>50</v>
      </c>
      <c r="E19" s="27">
        <v>42.0</v>
      </c>
      <c r="F19" s="29">
        <v>34.25</v>
      </c>
      <c r="G19" s="28">
        <v>100.0</v>
      </c>
      <c r="H19" s="28">
        <v>100.0</v>
      </c>
      <c r="I19" s="28">
        <v>100.0</v>
      </c>
      <c r="J19" s="28">
        <v>100.0</v>
      </c>
      <c r="K19" s="28">
        <v>100.0</v>
      </c>
      <c r="L19" s="28">
        <v>100.0</v>
      </c>
      <c r="M19" s="28">
        <v>100.0</v>
      </c>
      <c r="N19" s="27" t="s">
        <v>43</v>
      </c>
      <c r="O19" s="29">
        <f t="shared" si="1"/>
        <v>734.25</v>
      </c>
      <c r="P19" s="27" t="s">
        <v>44</v>
      </c>
      <c r="Q19" s="26" t="s">
        <v>45</v>
      </c>
      <c r="R19" s="30">
        <v>900.0</v>
      </c>
      <c r="S19" s="31">
        <f t="shared" si="2"/>
        <v>0.8158333333</v>
      </c>
      <c r="T19" s="31">
        <f t="shared" si="5"/>
        <v>0.8158333333</v>
      </c>
      <c r="U19" s="26" t="s">
        <v>46</v>
      </c>
      <c r="V19" s="26" t="s">
        <v>47</v>
      </c>
      <c r="W19" s="27" t="s">
        <v>48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ht="15.75" customHeight="1">
      <c r="D20" s="26" t="s">
        <v>51</v>
      </c>
      <c r="E20" s="27">
        <v>42.0</v>
      </c>
      <c r="F20" s="29">
        <v>34.25</v>
      </c>
      <c r="G20" s="28">
        <v>100.0</v>
      </c>
      <c r="H20" s="28">
        <v>100.0</v>
      </c>
      <c r="I20" s="28">
        <v>100.0</v>
      </c>
      <c r="J20" s="28">
        <v>100.0</v>
      </c>
      <c r="K20" s="28">
        <v>100.0</v>
      </c>
      <c r="L20" s="28">
        <v>100.0</v>
      </c>
      <c r="M20" s="28">
        <v>100.0</v>
      </c>
      <c r="N20" s="27" t="s">
        <v>43</v>
      </c>
      <c r="O20" s="29">
        <f t="shared" si="1"/>
        <v>734.25</v>
      </c>
      <c r="P20" s="27" t="s">
        <v>44</v>
      </c>
      <c r="Q20" s="26" t="s">
        <v>45</v>
      </c>
      <c r="R20" s="26">
        <v>900.0</v>
      </c>
      <c r="S20" s="36">
        <f t="shared" si="2"/>
        <v>0.8158333333</v>
      </c>
      <c r="T20" s="36">
        <f t="shared" si="5"/>
        <v>0.8158333333</v>
      </c>
      <c r="U20" s="26" t="s">
        <v>46</v>
      </c>
      <c r="V20" s="26" t="s">
        <v>47</v>
      </c>
      <c r="W20" s="27" t="s">
        <v>48</v>
      </c>
      <c r="X20" s="43" t="s">
        <v>52</v>
      </c>
      <c r="Y20" s="43" t="s">
        <v>52</v>
      </c>
      <c r="Z20" s="43" t="s">
        <v>52</v>
      </c>
      <c r="AA20" s="43" t="s">
        <v>52</v>
      </c>
      <c r="AB20" s="43" t="s">
        <v>53</v>
      </c>
      <c r="AC20" s="43" t="s">
        <v>52</v>
      </c>
      <c r="AD20" s="43" t="s">
        <v>52</v>
      </c>
      <c r="AE20" s="43" t="s">
        <v>52</v>
      </c>
      <c r="AF20" s="43" t="s">
        <v>52</v>
      </c>
      <c r="AG20" s="43" t="s">
        <v>54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ht="15.75" customHeight="1">
      <c r="A21" s="44">
        <v>11745.0</v>
      </c>
      <c r="B21" s="45" t="s">
        <v>59</v>
      </c>
      <c r="C21" s="45" t="s">
        <v>57</v>
      </c>
      <c r="D21" s="26" t="s">
        <v>41</v>
      </c>
      <c r="E21" s="27">
        <v>42.0</v>
      </c>
      <c r="F21" s="29">
        <v>34.25</v>
      </c>
      <c r="G21" s="28">
        <v>100.0</v>
      </c>
      <c r="H21" s="28">
        <v>100.0</v>
      </c>
      <c r="I21" s="28">
        <v>100.0</v>
      </c>
      <c r="J21" s="28">
        <v>100.0</v>
      </c>
      <c r="K21" s="28">
        <v>100.0</v>
      </c>
      <c r="L21" s="28">
        <v>100.0</v>
      </c>
      <c r="M21" s="28">
        <v>100.0</v>
      </c>
      <c r="N21" s="27" t="s">
        <v>43</v>
      </c>
      <c r="O21" s="29">
        <f t="shared" si="1"/>
        <v>734.25</v>
      </c>
      <c r="P21" s="27" t="s">
        <v>44</v>
      </c>
      <c r="Q21" s="26" t="s">
        <v>45</v>
      </c>
      <c r="R21" s="30">
        <v>900.0</v>
      </c>
      <c r="S21" s="31">
        <f t="shared" si="2"/>
        <v>0.8158333333</v>
      </c>
      <c r="T21" s="31">
        <f t="shared" si="5"/>
        <v>0.8158333333</v>
      </c>
      <c r="U21" s="26" t="s">
        <v>46</v>
      </c>
      <c r="V21" s="26" t="s">
        <v>47</v>
      </c>
      <c r="W21" s="27" t="s">
        <v>48</v>
      </c>
      <c r="X21" s="32"/>
    </row>
    <row r="22" ht="15.75" customHeight="1">
      <c r="A22" s="38"/>
      <c r="B22" s="46"/>
      <c r="C22" s="46"/>
      <c r="D22" s="26" t="s">
        <v>49</v>
      </c>
      <c r="E22" s="27">
        <v>42.0</v>
      </c>
      <c r="F22" s="29">
        <v>34.25</v>
      </c>
      <c r="G22" s="28">
        <v>100.0</v>
      </c>
      <c r="H22" s="28">
        <v>100.0</v>
      </c>
      <c r="I22" s="28">
        <v>100.0</v>
      </c>
      <c r="J22" s="28">
        <v>100.0</v>
      </c>
      <c r="K22" s="28">
        <v>100.0</v>
      </c>
      <c r="L22" s="28">
        <v>100.0</v>
      </c>
      <c r="M22" s="28">
        <v>100.0</v>
      </c>
      <c r="N22" s="27" t="s">
        <v>43</v>
      </c>
      <c r="O22" s="29">
        <f t="shared" si="1"/>
        <v>734.25</v>
      </c>
      <c r="P22" s="27" t="s">
        <v>44</v>
      </c>
      <c r="Q22" s="26" t="s">
        <v>45</v>
      </c>
      <c r="R22" s="26">
        <v>900.0</v>
      </c>
      <c r="S22" s="36">
        <f t="shared" si="2"/>
        <v>0.8158333333</v>
      </c>
      <c r="T22" s="36" t="str">
        <f t="shared" ref="T22:T23" si="6">(O22+#REF!)/(R22+#REF!)</f>
        <v>#REF!</v>
      </c>
      <c r="U22" s="26" t="s">
        <v>46</v>
      </c>
      <c r="V22" s="26" t="s">
        <v>47</v>
      </c>
      <c r="W22" s="27" t="s">
        <v>48</v>
      </c>
    </row>
    <row r="23" ht="15.75" customHeight="1">
      <c r="A23" s="38"/>
      <c r="B23" s="46"/>
      <c r="C23" s="46"/>
      <c r="D23" s="26" t="s">
        <v>50</v>
      </c>
      <c r="E23" s="27">
        <v>42.0</v>
      </c>
      <c r="F23" s="29">
        <v>34.25</v>
      </c>
      <c r="G23" s="28">
        <v>100.0</v>
      </c>
      <c r="H23" s="28">
        <v>100.0</v>
      </c>
      <c r="I23" s="28">
        <v>100.0</v>
      </c>
      <c r="J23" s="28">
        <v>100.0</v>
      </c>
      <c r="K23" s="28">
        <v>100.0</v>
      </c>
      <c r="L23" s="28">
        <v>100.0</v>
      </c>
      <c r="M23" s="28">
        <v>100.0</v>
      </c>
      <c r="N23" s="27" t="s">
        <v>43</v>
      </c>
      <c r="O23" s="29">
        <f t="shared" si="1"/>
        <v>734.25</v>
      </c>
      <c r="P23" s="27" t="s">
        <v>44</v>
      </c>
      <c r="Q23" s="26" t="s">
        <v>45</v>
      </c>
      <c r="R23" s="30">
        <v>900.0</v>
      </c>
      <c r="S23" s="31">
        <f t="shared" si="2"/>
        <v>0.8158333333</v>
      </c>
      <c r="T23" s="31" t="str">
        <f t="shared" si="6"/>
        <v>#REF!</v>
      </c>
      <c r="U23" s="26" t="s">
        <v>46</v>
      </c>
      <c r="V23" s="26" t="s">
        <v>47</v>
      </c>
      <c r="W23" s="27" t="s">
        <v>48</v>
      </c>
    </row>
    <row r="24" ht="15.75" customHeight="1">
      <c r="A24" s="38"/>
      <c r="B24" s="46"/>
      <c r="C24" s="46"/>
      <c r="D24" s="26" t="s">
        <v>51</v>
      </c>
      <c r="E24" s="27">
        <v>42.0</v>
      </c>
      <c r="F24" s="29">
        <v>34.25</v>
      </c>
      <c r="G24" s="28">
        <v>100.0</v>
      </c>
      <c r="H24" s="28">
        <v>100.0</v>
      </c>
      <c r="I24" s="28">
        <v>100.0</v>
      </c>
      <c r="J24" s="28">
        <v>100.0</v>
      </c>
      <c r="K24" s="28">
        <v>100.0</v>
      </c>
      <c r="L24" s="28">
        <v>100.0</v>
      </c>
      <c r="M24" s="28">
        <v>100.0</v>
      </c>
      <c r="N24" s="27" t="s">
        <v>43</v>
      </c>
      <c r="O24" s="29">
        <f t="shared" si="1"/>
        <v>734.25</v>
      </c>
      <c r="P24" s="27" t="s">
        <v>44</v>
      </c>
      <c r="Q24" s="26" t="s">
        <v>45</v>
      </c>
      <c r="R24" s="26">
        <v>900.0</v>
      </c>
      <c r="S24" s="36">
        <f t="shared" si="2"/>
        <v>0.8158333333</v>
      </c>
      <c r="T24" s="36">
        <f>(O24+O25)/(R24+R25)</f>
        <v>0.8158333333</v>
      </c>
      <c r="U24" s="26" t="s">
        <v>46</v>
      </c>
      <c r="V24" s="26" t="s">
        <v>47</v>
      </c>
      <c r="W24" s="27" t="s">
        <v>48</v>
      </c>
      <c r="X24" s="43" t="s">
        <v>52</v>
      </c>
      <c r="Y24" s="43" t="s">
        <v>52</v>
      </c>
      <c r="Z24" s="43" t="s">
        <v>52</v>
      </c>
      <c r="AA24" s="43" t="s">
        <v>52</v>
      </c>
      <c r="AB24" s="43" t="s">
        <v>53</v>
      </c>
      <c r="AC24" s="43" t="s">
        <v>52</v>
      </c>
      <c r="AD24" s="43" t="s">
        <v>52</v>
      </c>
      <c r="AE24" s="43" t="s">
        <v>52</v>
      </c>
      <c r="AF24" s="43" t="s">
        <v>52</v>
      </c>
      <c r="AG24" s="43" t="s">
        <v>54</v>
      </c>
    </row>
    <row r="25" ht="15.75" customHeight="1">
      <c r="A25" s="44">
        <v>11746.0</v>
      </c>
      <c r="B25" s="45" t="s">
        <v>60</v>
      </c>
      <c r="C25" s="45" t="s">
        <v>61</v>
      </c>
      <c r="D25" s="26" t="s">
        <v>41</v>
      </c>
      <c r="E25" s="27">
        <v>42.0</v>
      </c>
      <c r="F25" s="29">
        <v>34.25</v>
      </c>
      <c r="G25" s="28">
        <v>100.0</v>
      </c>
      <c r="H25" s="28">
        <v>100.0</v>
      </c>
      <c r="I25" s="28">
        <v>100.0</v>
      </c>
      <c r="J25" s="28">
        <v>100.0</v>
      </c>
      <c r="K25" s="28">
        <v>100.0</v>
      </c>
      <c r="L25" s="28">
        <v>100.0</v>
      </c>
      <c r="M25" s="28">
        <v>100.0</v>
      </c>
      <c r="N25" s="27" t="s">
        <v>43</v>
      </c>
      <c r="O25" s="29">
        <f t="shared" si="1"/>
        <v>734.25</v>
      </c>
      <c r="P25" s="27" t="s">
        <v>44</v>
      </c>
      <c r="Q25" s="26" t="s">
        <v>45</v>
      </c>
      <c r="R25" s="30">
        <v>900.0</v>
      </c>
      <c r="S25" s="31">
        <f t="shared" si="2"/>
        <v>0.8158333333</v>
      </c>
      <c r="T25" s="31">
        <f t="shared" ref="T25:T29" si="7">(O25+O28)/(R25+R28)</f>
        <v>0.8158333333</v>
      </c>
      <c r="U25" s="26" t="s">
        <v>46</v>
      </c>
      <c r="V25" s="26" t="s">
        <v>47</v>
      </c>
      <c r="W25" s="27" t="s">
        <v>48</v>
      </c>
      <c r="X25" s="32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ht="15.75" customHeight="1">
      <c r="A26" s="38"/>
      <c r="D26" s="26" t="s">
        <v>49</v>
      </c>
      <c r="E26" s="27">
        <v>42.0</v>
      </c>
      <c r="F26" s="29">
        <v>34.25</v>
      </c>
      <c r="G26" s="28">
        <v>100.0</v>
      </c>
      <c r="H26" s="28">
        <v>100.0</v>
      </c>
      <c r="I26" s="28">
        <v>100.0</v>
      </c>
      <c r="J26" s="28">
        <v>100.0</v>
      </c>
      <c r="K26" s="28">
        <v>100.0</v>
      </c>
      <c r="L26" s="28">
        <v>100.0</v>
      </c>
      <c r="M26" s="28">
        <v>100.0</v>
      </c>
      <c r="N26" s="27" t="s">
        <v>43</v>
      </c>
      <c r="O26" s="29">
        <f t="shared" si="1"/>
        <v>734.25</v>
      </c>
      <c r="P26" s="27" t="s">
        <v>44</v>
      </c>
      <c r="Q26" s="26" t="s">
        <v>45</v>
      </c>
      <c r="R26" s="26">
        <v>900.0</v>
      </c>
      <c r="S26" s="36">
        <f t="shared" si="2"/>
        <v>0.8158333333</v>
      </c>
      <c r="T26" s="36">
        <f t="shared" si="7"/>
        <v>0.8158333333</v>
      </c>
      <c r="U26" s="26" t="s">
        <v>46</v>
      </c>
      <c r="V26" s="26" t="s">
        <v>47</v>
      </c>
      <c r="W26" s="27" t="s">
        <v>48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ht="15.75" customHeight="1">
      <c r="D27" s="26" t="s">
        <v>50</v>
      </c>
      <c r="E27" s="27">
        <v>42.0</v>
      </c>
      <c r="F27" s="29">
        <v>34.25</v>
      </c>
      <c r="G27" s="28">
        <v>100.0</v>
      </c>
      <c r="H27" s="28">
        <v>100.0</v>
      </c>
      <c r="I27" s="28">
        <v>100.0</v>
      </c>
      <c r="J27" s="28">
        <v>100.0</v>
      </c>
      <c r="K27" s="28">
        <v>100.0</v>
      </c>
      <c r="L27" s="28">
        <v>100.0</v>
      </c>
      <c r="M27" s="28">
        <v>100.0</v>
      </c>
      <c r="N27" s="27" t="s">
        <v>43</v>
      </c>
      <c r="O27" s="29">
        <f t="shared" si="1"/>
        <v>734.25</v>
      </c>
      <c r="P27" s="27" t="s">
        <v>44</v>
      </c>
      <c r="Q27" s="26" t="s">
        <v>45</v>
      </c>
      <c r="R27" s="30">
        <v>900.0</v>
      </c>
      <c r="S27" s="31">
        <f t="shared" si="2"/>
        <v>0.8158333333</v>
      </c>
      <c r="T27" s="31">
        <f t="shared" si="7"/>
        <v>0.8158333333</v>
      </c>
      <c r="U27" s="26" t="s">
        <v>46</v>
      </c>
      <c r="V27" s="26" t="s">
        <v>47</v>
      </c>
      <c r="W27" s="27" t="s">
        <v>48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ht="15.75" customHeight="1">
      <c r="D28" s="26" t="s">
        <v>51</v>
      </c>
      <c r="E28" s="27">
        <v>42.0</v>
      </c>
      <c r="F28" s="29">
        <v>34.25</v>
      </c>
      <c r="G28" s="28">
        <v>100.0</v>
      </c>
      <c r="H28" s="28">
        <v>100.0</v>
      </c>
      <c r="I28" s="28">
        <v>100.0</v>
      </c>
      <c r="J28" s="28">
        <v>100.0</v>
      </c>
      <c r="K28" s="28">
        <v>100.0</v>
      </c>
      <c r="L28" s="28">
        <v>100.0</v>
      </c>
      <c r="M28" s="28">
        <v>100.0</v>
      </c>
      <c r="N28" s="27" t="s">
        <v>43</v>
      </c>
      <c r="O28" s="29">
        <f t="shared" si="1"/>
        <v>734.25</v>
      </c>
      <c r="P28" s="27" t="s">
        <v>44</v>
      </c>
      <c r="Q28" s="26" t="s">
        <v>45</v>
      </c>
      <c r="R28" s="26">
        <v>900.0</v>
      </c>
      <c r="S28" s="36">
        <f t="shared" si="2"/>
        <v>0.8158333333</v>
      </c>
      <c r="T28" s="36">
        <f t="shared" si="7"/>
        <v>0.8158333333</v>
      </c>
      <c r="U28" s="26" t="s">
        <v>46</v>
      </c>
      <c r="V28" s="26" t="s">
        <v>47</v>
      </c>
      <c r="W28" s="27" t="s">
        <v>48</v>
      </c>
      <c r="X28" s="43" t="s">
        <v>52</v>
      </c>
      <c r="Y28" s="43" t="s">
        <v>52</v>
      </c>
      <c r="Z28" s="43" t="s">
        <v>52</v>
      </c>
      <c r="AA28" s="43" t="s">
        <v>52</v>
      </c>
      <c r="AB28" s="43" t="s">
        <v>53</v>
      </c>
      <c r="AC28" s="43" t="s">
        <v>52</v>
      </c>
      <c r="AD28" s="43" t="s">
        <v>52</v>
      </c>
      <c r="AE28" s="43" t="s">
        <v>52</v>
      </c>
      <c r="AF28" s="43" t="s">
        <v>52</v>
      </c>
      <c r="AG28" s="43" t="s">
        <v>54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ht="15.75" customHeight="1">
      <c r="A29" s="44">
        <v>11747.0</v>
      </c>
      <c r="B29" s="45" t="s">
        <v>62</v>
      </c>
      <c r="C29" s="45" t="s">
        <v>63</v>
      </c>
      <c r="D29" s="26" t="s">
        <v>41</v>
      </c>
      <c r="E29" s="27">
        <v>42.0</v>
      </c>
      <c r="F29" s="29">
        <v>34.25</v>
      </c>
      <c r="G29" s="28">
        <v>100.0</v>
      </c>
      <c r="H29" s="28">
        <v>100.0</v>
      </c>
      <c r="I29" s="28">
        <v>100.0</v>
      </c>
      <c r="J29" s="28">
        <v>100.0</v>
      </c>
      <c r="K29" s="28">
        <v>100.0</v>
      </c>
      <c r="L29" s="28">
        <v>100.0</v>
      </c>
      <c r="M29" s="28">
        <v>100.0</v>
      </c>
      <c r="N29" s="27" t="s">
        <v>43</v>
      </c>
      <c r="O29" s="29">
        <f t="shared" si="1"/>
        <v>734.25</v>
      </c>
      <c r="P29" s="27" t="s">
        <v>44</v>
      </c>
      <c r="Q29" s="26" t="s">
        <v>45</v>
      </c>
      <c r="R29" s="30">
        <v>900.0</v>
      </c>
      <c r="S29" s="31">
        <f t="shared" si="2"/>
        <v>0.8158333333</v>
      </c>
      <c r="T29" s="31">
        <f t="shared" si="7"/>
        <v>0.8158333333</v>
      </c>
      <c r="U29" s="26" t="s">
        <v>46</v>
      </c>
      <c r="V29" s="26" t="s">
        <v>47</v>
      </c>
      <c r="W29" s="27" t="s">
        <v>48</v>
      </c>
      <c r="X29" s="32"/>
    </row>
    <row r="30" ht="15.75" customHeight="1">
      <c r="A30" s="38"/>
      <c r="D30" s="26" t="s">
        <v>49</v>
      </c>
      <c r="E30" s="27">
        <v>42.0</v>
      </c>
      <c r="F30" s="29">
        <v>34.25</v>
      </c>
      <c r="G30" s="28">
        <v>100.0</v>
      </c>
      <c r="H30" s="28">
        <v>100.0</v>
      </c>
      <c r="I30" s="28">
        <v>100.0</v>
      </c>
      <c r="J30" s="28">
        <v>100.0</v>
      </c>
      <c r="K30" s="28">
        <v>100.0</v>
      </c>
      <c r="L30" s="28">
        <v>100.0</v>
      </c>
      <c r="M30" s="28">
        <v>100.0</v>
      </c>
      <c r="N30" s="27" t="s">
        <v>43</v>
      </c>
      <c r="O30" s="29">
        <f t="shared" si="1"/>
        <v>734.25</v>
      </c>
      <c r="P30" s="27" t="s">
        <v>44</v>
      </c>
      <c r="Q30" s="26" t="s">
        <v>45</v>
      </c>
      <c r="R30" s="26">
        <v>900.0</v>
      </c>
      <c r="S30" s="36">
        <f t="shared" si="2"/>
        <v>0.8158333333</v>
      </c>
      <c r="T30" s="36" t="str">
        <f t="shared" ref="T30:T31" si="8">(O30+#REF!)/(R30+#REF!)</f>
        <v>#REF!</v>
      </c>
      <c r="U30" s="26" t="s">
        <v>46</v>
      </c>
      <c r="V30" s="26" t="s">
        <v>47</v>
      </c>
      <c r="W30" s="27" t="s">
        <v>48</v>
      </c>
    </row>
    <row r="31" ht="15.75" customHeight="1">
      <c r="D31" s="26" t="s">
        <v>50</v>
      </c>
      <c r="E31" s="27">
        <v>42.0</v>
      </c>
      <c r="F31" s="29">
        <v>34.25</v>
      </c>
      <c r="G31" s="28">
        <v>100.0</v>
      </c>
      <c r="H31" s="28">
        <v>100.0</v>
      </c>
      <c r="I31" s="28">
        <v>100.0</v>
      </c>
      <c r="J31" s="28">
        <v>100.0</v>
      </c>
      <c r="K31" s="28">
        <v>100.0</v>
      </c>
      <c r="L31" s="28">
        <v>100.0</v>
      </c>
      <c r="M31" s="28">
        <v>100.0</v>
      </c>
      <c r="N31" s="27" t="s">
        <v>43</v>
      </c>
      <c r="O31" s="29">
        <f t="shared" si="1"/>
        <v>734.25</v>
      </c>
      <c r="P31" s="27" t="s">
        <v>44</v>
      </c>
      <c r="Q31" s="26" t="s">
        <v>45</v>
      </c>
      <c r="R31" s="30">
        <v>900.0</v>
      </c>
      <c r="S31" s="31">
        <f t="shared" si="2"/>
        <v>0.8158333333</v>
      </c>
      <c r="T31" s="31" t="str">
        <f t="shared" si="8"/>
        <v>#REF!</v>
      </c>
      <c r="U31" s="26" t="s">
        <v>46</v>
      </c>
      <c r="V31" s="26" t="s">
        <v>47</v>
      </c>
      <c r="W31" s="27" t="s">
        <v>48</v>
      </c>
    </row>
    <row r="32" ht="15.75" customHeight="1">
      <c r="D32" s="26" t="s">
        <v>51</v>
      </c>
      <c r="E32" s="27">
        <v>42.0</v>
      </c>
      <c r="F32" s="29">
        <v>34.25</v>
      </c>
      <c r="G32" s="28">
        <v>100.0</v>
      </c>
      <c r="H32" s="28">
        <v>100.0</v>
      </c>
      <c r="I32" s="28">
        <v>100.0</v>
      </c>
      <c r="J32" s="28">
        <v>100.0</v>
      </c>
      <c r="K32" s="28">
        <v>100.0</v>
      </c>
      <c r="L32" s="28">
        <v>100.0</v>
      </c>
      <c r="M32" s="28">
        <v>100.0</v>
      </c>
      <c r="N32" s="27" t="s">
        <v>43</v>
      </c>
      <c r="O32" s="29">
        <f t="shared" si="1"/>
        <v>734.25</v>
      </c>
      <c r="P32" s="27" t="s">
        <v>44</v>
      </c>
      <c r="Q32" s="26" t="s">
        <v>45</v>
      </c>
      <c r="R32" s="26">
        <v>900.0</v>
      </c>
      <c r="S32" s="36">
        <f t="shared" si="2"/>
        <v>0.8158333333</v>
      </c>
      <c r="T32" s="36">
        <f>(O32+O33)/(R32+R33)</f>
        <v>0.8158333333</v>
      </c>
      <c r="U32" s="26" t="s">
        <v>46</v>
      </c>
      <c r="V32" s="26" t="s">
        <v>47</v>
      </c>
      <c r="W32" s="27" t="s">
        <v>48</v>
      </c>
      <c r="X32" s="43" t="s">
        <v>52</v>
      </c>
      <c r="Y32" s="43" t="s">
        <v>52</v>
      </c>
      <c r="Z32" s="43" t="s">
        <v>52</v>
      </c>
      <c r="AA32" s="43" t="s">
        <v>52</v>
      </c>
      <c r="AB32" s="43" t="s">
        <v>53</v>
      </c>
      <c r="AC32" s="43" t="s">
        <v>52</v>
      </c>
      <c r="AD32" s="43" t="s">
        <v>52</v>
      </c>
      <c r="AE32" s="43" t="s">
        <v>52</v>
      </c>
      <c r="AF32" s="43" t="s">
        <v>52</v>
      </c>
      <c r="AG32" s="43" t="s">
        <v>54</v>
      </c>
    </row>
    <row r="33" ht="15.75" customHeight="1">
      <c r="A33" s="44">
        <v>11748.0</v>
      </c>
      <c r="B33" s="45" t="s">
        <v>64</v>
      </c>
      <c r="C33" s="45" t="s">
        <v>65</v>
      </c>
      <c r="D33" s="26" t="s">
        <v>41</v>
      </c>
      <c r="E33" s="27">
        <v>42.0</v>
      </c>
      <c r="F33" s="29">
        <v>34.25</v>
      </c>
      <c r="G33" s="28">
        <v>100.0</v>
      </c>
      <c r="H33" s="28">
        <v>100.0</v>
      </c>
      <c r="I33" s="28">
        <v>100.0</v>
      </c>
      <c r="J33" s="28">
        <v>100.0</v>
      </c>
      <c r="K33" s="28">
        <v>100.0</v>
      </c>
      <c r="L33" s="28">
        <v>100.0</v>
      </c>
      <c r="M33" s="28">
        <v>100.0</v>
      </c>
      <c r="N33" s="27" t="s">
        <v>43</v>
      </c>
      <c r="O33" s="29">
        <f t="shared" si="1"/>
        <v>734.25</v>
      </c>
      <c r="P33" s="27" t="s">
        <v>44</v>
      </c>
      <c r="Q33" s="26" t="s">
        <v>45</v>
      </c>
      <c r="R33" s="30">
        <v>900.0</v>
      </c>
      <c r="S33" s="31">
        <f t="shared" si="2"/>
        <v>0.8158333333</v>
      </c>
      <c r="T33" s="31">
        <f t="shared" ref="T33:T37" si="9">(O33+O36)/(R33+R36)</f>
        <v>0.8158333333</v>
      </c>
      <c r="U33" s="26" t="s">
        <v>46</v>
      </c>
      <c r="V33" s="26" t="s">
        <v>47</v>
      </c>
      <c r="W33" s="27" t="s">
        <v>48</v>
      </c>
      <c r="X33" s="32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5.75" customHeight="1">
      <c r="A34" s="38"/>
      <c r="D34" s="26" t="s">
        <v>49</v>
      </c>
      <c r="E34" s="27">
        <v>42.0</v>
      </c>
      <c r="F34" s="29">
        <v>34.25</v>
      </c>
      <c r="G34" s="28">
        <v>100.0</v>
      </c>
      <c r="H34" s="28">
        <v>100.0</v>
      </c>
      <c r="I34" s="28">
        <v>100.0</v>
      </c>
      <c r="J34" s="28">
        <v>100.0</v>
      </c>
      <c r="K34" s="28">
        <v>100.0</v>
      </c>
      <c r="L34" s="28">
        <v>100.0</v>
      </c>
      <c r="M34" s="28">
        <v>100.0</v>
      </c>
      <c r="N34" s="27" t="s">
        <v>43</v>
      </c>
      <c r="O34" s="29">
        <f t="shared" si="1"/>
        <v>734.25</v>
      </c>
      <c r="P34" s="27" t="s">
        <v>44</v>
      </c>
      <c r="Q34" s="26" t="s">
        <v>45</v>
      </c>
      <c r="R34" s="26">
        <v>900.0</v>
      </c>
      <c r="S34" s="36">
        <f t="shared" si="2"/>
        <v>0.8158333333</v>
      </c>
      <c r="T34" s="36">
        <f t="shared" si="9"/>
        <v>0.8158333333</v>
      </c>
      <c r="U34" s="26" t="s">
        <v>46</v>
      </c>
      <c r="V34" s="26" t="s">
        <v>47</v>
      </c>
      <c r="W34" s="27" t="s">
        <v>48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5.75" customHeight="1">
      <c r="D35" s="26" t="s">
        <v>50</v>
      </c>
      <c r="E35" s="27">
        <v>42.0</v>
      </c>
      <c r="F35" s="29">
        <v>34.25</v>
      </c>
      <c r="G35" s="28">
        <v>100.0</v>
      </c>
      <c r="H35" s="28">
        <v>100.0</v>
      </c>
      <c r="I35" s="28">
        <v>100.0</v>
      </c>
      <c r="J35" s="28">
        <v>100.0</v>
      </c>
      <c r="K35" s="28">
        <v>100.0</v>
      </c>
      <c r="L35" s="28">
        <v>100.0</v>
      </c>
      <c r="M35" s="28">
        <v>100.0</v>
      </c>
      <c r="N35" s="27" t="s">
        <v>43</v>
      </c>
      <c r="O35" s="29">
        <f t="shared" si="1"/>
        <v>734.25</v>
      </c>
      <c r="P35" s="27" t="s">
        <v>44</v>
      </c>
      <c r="Q35" s="26" t="s">
        <v>45</v>
      </c>
      <c r="R35" s="30">
        <v>900.0</v>
      </c>
      <c r="S35" s="31">
        <f t="shared" si="2"/>
        <v>0.8158333333</v>
      </c>
      <c r="T35" s="31">
        <f t="shared" si="9"/>
        <v>0.8158333333</v>
      </c>
      <c r="U35" s="26" t="s">
        <v>46</v>
      </c>
      <c r="V35" s="26" t="s">
        <v>47</v>
      </c>
      <c r="W35" s="27" t="s">
        <v>48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5.75" customHeight="1">
      <c r="D36" s="26" t="s">
        <v>51</v>
      </c>
      <c r="E36" s="27">
        <v>42.0</v>
      </c>
      <c r="F36" s="29">
        <v>34.25</v>
      </c>
      <c r="G36" s="28">
        <v>100.0</v>
      </c>
      <c r="H36" s="28">
        <v>100.0</v>
      </c>
      <c r="I36" s="28">
        <v>100.0</v>
      </c>
      <c r="J36" s="28">
        <v>100.0</v>
      </c>
      <c r="K36" s="28">
        <v>100.0</v>
      </c>
      <c r="L36" s="28">
        <v>100.0</v>
      </c>
      <c r="M36" s="28">
        <v>100.0</v>
      </c>
      <c r="N36" s="27" t="s">
        <v>43</v>
      </c>
      <c r="O36" s="29">
        <f t="shared" si="1"/>
        <v>734.25</v>
      </c>
      <c r="P36" s="27" t="s">
        <v>44</v>
      </c>
      <c r="Q36" s="26" t="s">
        <v>45</v>
      </c>
      <c r="R36" s="26">
        <v>900.0</v>
      </c>
      <c r="S36" s="36">
        <f t="shared" si="2"/>
        <v>0.8158333333</v>
      </c>
      <c r="T36" s="36">
        <f t="shared" si="9"/>
        <v>0.8158333333</v>
      </c>
      <c r="U36" s="26" t="s">
        <v>46</v>
      </c>
      <c r="V36" s="26" t="s">
        <v>47</v>
      </c>
      <c r="W36" s="27" t="s">
        <v>48</v>
      </c>
      <c r="X36" s="43" t="s">
        <v>52</v>
      </c>
      <c r="Y36" s="43" t="s">
        <v>52</v>
      </c>
      <c r="Z36" s="43" t="s">
        <v>52</v>
      </c>
      <c r="AA36" s="43" t="s">
        <v>52</v>
      </c>
      <c r="AB36" s="43" t="s">
        <v>53</v>
      </c>
      <c r="AC36" s="43" t="s">
        <v>52</v>
      </c>
      <c r="AD36" s="43" t="s">
        <v>52</v>
      </c>
      <c r="AE36" s="43" t="s">
        <v>52</v>
      </c>
      <c r="AF36" s="43" t="s">
        <v>52</v>
      </c>
      <c r="AG36" s="43" t="s">
        <v>54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5.75" customHeight="1">
      <c r="A37" s="44">
        <v>11749.0</v>
      </c>
      <c r="B37" s="45" t="s">
        <v>66</v>
      </c>
      <c r="C37" s="45" t="s">
        <v>65</v>
      </c>
      <c r="D37" s="26" t="s">
        <v>41</v>
      </c>
      <c r="E37" s="27">
        <v>42.0</v>
      </c>
      <c r="F37" s="29">
        <v>34.25</v>
      </c>
      <c r="G37" s="28">
        <v>100.0</v>
      </c>
      <c r="H37" s="28">
        <v>100.0</v>
      </c>
      <c r="I37" s="28">
        <v>100.0</v>
      </c>
      <c r="J37" s="28">
        <v>100.0</v>
      </c>
      <c r="K37" s="28">
        <v>100.0</v>
      </c>
      <c r="L37" s="28">
        <v>100.0</v>
      </c>
      <c r="M37" s="28">
        <v>100.0</v>
      </c>
      <c r="N37" s="27" t="s">
        <v>43</v>
      </c>
      <c r="O37" s="29">
        <f t="shared" si="1"/>
        <v>734.25</v>
      </c>
      <c r="P37" s="27" t="s">
        <v>44</v>
      </c>
      <c r="Q37" s="26" t="s">
        <v>45</v>
      </c>
      <c r="R37" s="30">
        <v>900.0</v>
      </c>
      <c r="S37" s="31">
        <f t="shared" si="2"/>
        <v>0.8158333333</v>
      </c>
      <c r="T37" s="31">
        <f t="shared" si="9"/>
        <v>0.8158333333</v>
      </c>
      <c r="U37" s="26" t="s">
        <v>46</v>
      </c>
      <c r="V37" s="26" t="s">
        <v>47</v>
      </c>
      <c r="W37" s="27" t="s">
        <v>48</v>
      </c>
      <c r="X37" s="32"/>
    </row>
    <row r="38" ht="15.75" customHeight="1">
      <c r="A38" s="38"/>
      <c r="B38" s="46"/>
      <c r="C38" s="46"/>
      <c r="D38" s="26" t="s">
        <v>49</v>
      </c>
      <c r="E38" s="27">
        <v>42.0</v>
      </c>
      <c r="F38" s="29">
        <v>34.25</v>
      </c>
      <c r="G38" s="28">
        <v>100.0</v>
      </c>
      <c r="H38" s="28">
        <v>100.0</v>
      </c>
      <c r="I38" s="28">
        <v>100.0</v>
      </c>
      <c r="J38" s="28">
        <v>100.0</v>
      </c>
      <c r="K38" s="28">
        <v>100.0</v>
      </c>
      <c r="L38" s="28">
        <v>100.0</v>
      </c>
      <c r="M38" s="28">
        <v>100.0</v>
      </c>
      <c r="N38" s="27" t="s">
        <v>43</v>
      </c>
      <c r="O38" s="29">
        <f t="shared" si="1"/>
        <v>734.25</v>
      </c>
      <c r="P38" s="27" t="s">
        <v>44</v>
      </c>
      <c r="Q38" s="26" t="s">
        <v>45</v>
      </c>
      <c r="R38" s="26">
        <v>900.0</v>
      </c>
      <c r="S38" s="36">
        <f t="shared" si="2"/>
        <v>0.8158333333</v>
      </c>
      <c r="T38" s="36" t="str">
        <f t="shared" ref="T38:T39" si="10">(O38+#REF!)/(R38+#REF!)</f>
        <v>#REF!</v>
      </c>
      <c r="U38" s="26" t="s">
        <v>46</v>
      </c>
      <c r="V38" s="26" t="s">
        <v>47</v>
      </c>
      <c r="W38" s="27" t="s">
        <v>48</v>
      </c>
    </row>
    <row r="39" ht="15.75" customHeight="1">
      <c r="A39" s="38"/>
      <c r="B39" s="46"/>
      <c r="C39" s="46"/>
      <c r="D39" s="26" t="s">
        <v>50</v>
      </c>
      <c r="E39" s="27">
        <v>42.0</v>
      </c>
      <c r="F39" s="29">
        <v>34.25</v>
      </c>
      <c r="G39" s="28">
        <v>100.0</v>
      </c>
      <c r="H39" s="28">
        <v>100.0</v>
      </c>
      <c r="I39" s="28">
        <v>100.0</v>
      </c>
      <c r="J39" s="28">
        <v>100.0</v>
      </c>
      <c r="K39" s="28">
        <v>100.0</v>
      </c>
      <c r="L39" s="28">
        <v>100.0</v>
      </c>
      <c r="M39" s="28">
        <v>100.0</v>
      </c>
      <c r="N39" s="27" t="s">
        <v>43</v>
      </c>
      <c r="O39" s="29">
        <f t="shared" si="1"/>
        <v>734.25</v>
      </c>
      <c r="P39" s="27" t="s">
        <v>44</v>
      </c>
      <c r="Q39" s="26" t="s">
        <v>45</v>
      </c>
      <c r="R39" s="30">
        <v>900.0</v>
      </c>
      <c r="S39" s="31">
        <f t="shared" si="2"/>
        <v>0.8158333333</v>
      </c>
      <c r="T39" s="31" t="str">
        <f t="shared" si="10"/>
        <v>#REF!</v>
      </c>
      <c r="U39" s="26" t="s">
        <v>46</v>
      </c>
      <c r="V39" s="26" t="s">
        <v>47</v>
      </c>
      <c r="W39" s="27" t="s">
        <v>48</v>
      </c>
    </row>
    <row r="40" ht="15.75" customHeight="1">
      <c r="A40" s="38"/>
      <c r="B40" s="46"/>
      <c r="C40" s="46"/>
      <c r="D40" s="26" t="s">
        <v>51</v>
      </c>
      <c r="E40" s="27">
        <v>42.0</v>
      </c>
      <c r="F40" s="29">
        <v>34.25</v>
      </c>
      <c r="G40" s="28">
        <v>100.0</v>
      </c>
      <c r="H40" s="28">
        <v>100.0</v>
      </c>
      <c r="I40" s="28">
        <v>100.0</v>
      </c>
      <c r="J40" s="28">
        <v>100.0</v>
      </c>
      <c r="K40" s="28">
        <v>100.0</v>
      </c>
      <c r="L40" s="28">
        <v>100.0</v>
      </c>
      <c r="M40" s="28">
        <v>100.0</v>
      </c>
      <c r="N40" s="27" t="s">
        <v>43</v>
      </c>
      <c r="O40" s="29">
        <f t="shared" si="1"/>
        <v>734.25</v>
      </c>
      <c r="P40" s="27" t="s">
        <v>44</v>
      </c>
      <c r="Q40" s="26" t="s">
        <v>45</v>
      </c>
      <c r="R40" s="26">
        <v>900.0</v>
      </c>
      <c r="S40" s="36">
        <f t="shared" si="2"/>
        <v>0.8158333333</v>
      </c>
      <c r="T40" s="36">
        <f>(O40+O41)/(R40+R41)</f>
        <v>0.8158333333</v>
      </c>
      <c r="U40" s="26" t="s">
        <v>46</v>
      </c>
      <c r="V40" s="26" t="s">
        <v>47</v>
      </c>
      <c r="W40" s="27" t="s">
        <v>48</v>
      </c>
      <c r="X40" s="43" t="s">
        <v>52</v>
      </c>
      <c r="Y40" s="43" t="s">
        <v>52</v>
      </c>
      <c r="Z40" s="43" t="s">
        <v>52</v>
      </c>
      <c r="AA40" s="43" t="s">
        <v>52</v>
      </c>
      <c r="AB40" s="43" t="s">
        <v>53</v>
      </c>
      <c r="AC40" s="43" t="s">
        <v>52</v>
      </c>
      <c r="AD40" s="43" t="s">
        <v>52</v>
      </c>
      <c r="AE40" s="43" t="s">
        <v>52</v>
      </c>
      <c r="AF40" s="43" t="s">
        <v>52</v>
      </c>
      <c r="AG40" s="43" t="s">
        <v>54</v>
      </c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8"/>
      <c r="S41" s="49"/>
      <c r="T41" s="49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52"/>
      <c r="T42" s="52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8"/>
      <c r="S43" s="49"/>
      <c r="T43" s="49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1"/>
      <c r="S44" s="52"/>
      <c r="T44" s="52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8"/>
      <c r="S45" s="49"/>
      <c r="T45" s="49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1"/>
      <c r="S46" s="52"/>
      <c r="T46" s="52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8"/>
      <c r="S47" s="49"/>
      <c r="T47" s="49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  <c r="S48" s="52"/>
      <c r="T48" s="52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8"/>
      <c r="S49" s="49"/>
      <c r="T49" s="49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1"/>
      <c r="S50" s="52"/>
      <c r="T50" s="52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8"/>
      <c r="S51" s="49"/>
      <c r="T51" s="49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1"/>
      <c r="S52" s="52"/>
      <c r="T52" s="52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8"/>
      <c r="S53" s="49"/>
      <c r="T53" s="49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2"/>
      <c r="T54" s="52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8"/>
      <c r="S55" s="49"/>
      <c r="T55" s="49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2"/>
      <c r="T56" s="52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8"/>
      <c r="S57" s="49"/>
      <c r="T57" s="49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2"/>
      <c r="T58" s="52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8"/>
      <c r="S59" s="49"/>
      <c r="T59" s="49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2"/>
      <c r="T60" s="52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8"/>
      <c r="S61" s="49"/>
      <c r="T61" s="49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1"/>
      <c r="S62" s="52"/>
      <c r="T62" s="52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8"/>
      <c r="S63" s="49"/>
      <c r="T63" s="49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1"/>
      <c r="S64" s="52"/>
      <c r="T64" s="52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8"/>
      <c r="S65" s="49"/>
      <c r="T65" s="49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1"/>
      <c r="S66" s="52"/>
      <c r="T66" s="52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8"/>
      <c r="S67" s="49"/>
      <c r="T67" s="49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1"/>
      <c r="S68" s="52"/>
      <c r="T68" s="52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49"/>
      <c r="T69" s="49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1"/>
      <c r="S70" s="52"/>
      <c r="T70" s="52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8"/>
      <c r="S71" s="49"/>
      <c r="T71" s="49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1"/>
      <c r="S72" s="52"/>
      <c r="T72" s="52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8"/>
      <c r="S73" s="49"/>
      <c r="T73" s="49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1"/>
      <c r="S74" s="52"/>
      <c r="T74" s="52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8"/>
      <c r="S75" s="49"/>
      <c r="T75" s="49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1"/>
      <c r="S76" s="52"/>
      <c r="T76" s="52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8"/>
      <c r="S77" s="49"/>
      <c r="T77" s="49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1"/>
      <c r="S78" s="52"/>
      <c r="T78" s="52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8"/>
      <c r="S79" s="49"/>
      <c r="T79" s="49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1"/>
      <c r="S80" s="52"/>
      <c r="T80" s="52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8"/>
      <c r="S81" s="49"/>
      <c r="T81" s="49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1"/>
      <c r="S82" s="52"/>
      <c r="T82" s="52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8"/>
      <c r="S83" s="49"/>
      <c r="T83" s="49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1"/>
      <c r="S84" s="52"/>
      <c r="T84" s="52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8"/>
      <c r="S85" s="49"/>
      <c r="T85" s="49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1"/>
      <c r="S86" s="52"/>
      <c r="T86" s="52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8"/>
      <c r="S87" s="49"/>
      <c r="T87" s="49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1"/>
      <c r="S88" s="52"/>
      <c r="T88" s="52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8"/>
      <c r="S89" s="49"/>
      <c r="T89" s="49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1"/>
      <c r="S90" s="52"/>
      <c r="T90" s="52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8"/>
      <c r="S91" s="49"/>
      <c r="T91" s="49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1"/>
      <c r="S92" s="52"/>
      <c r="T92" s="52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8"/>
      <c r="S93" s="49"/>
      <c r="T93" s="49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1"/>
      <c r="S94" s="52"/>
      <c r="T94" s="52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8"/>
      <c r="S95" s="49"/>
      <c r="T95" s="49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1"/>
      <c r="S96" s="52"/>
      <c r="T96" s="52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8"/>
      <c r="S97" s="49"/>
      <c r="T97" s="49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1"/>
      <c r="S98" s="52"/>
      <c r="T98" s="52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8"/>
      <c r="S99" s="49"/>
      <c r="T99" s="49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1"/>
      <c r="S100" s="52"/>
      <c r="T100" s="52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8"/>
      <c r="S101" s="49"/>
      <c r="T101" s="49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1"/>
      <c r="S102" s="52"/>
      <c r="T102" s="52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8"/>
      <c r="S103" s="49"/>
      <c r="T103" s="49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1"/>
      <c r="S104" s="52"/>
      <c r="T104" s="52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8"/>
      <c r="S105" s="49"/>
      <c r="T105" s="49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1"/>
      <c r="S106" s="52"/>
      <c r="T106" s="52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8"/>
      <c r="S107" s="49"/>
      <c r="T107" s="49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1"/>
      <c r="S108" s="52"/>
      <c r="T108" s="52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8"/>
      <c r="S109" s="49"/>
      <c r="T109" s="49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1"/>
      <c r="S110" s="52"/>
      <c r="T110" s="52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8"/>
      <c r="S111" s="49"/>
      <c r="T111" s="49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1"/>
      <c r="S112" s="52"/>
      <c r="T112" s="52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8"/>
      <c r="S113" s="49"/>
      <c r="T113" s="49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1"/>
      <c r="S114" s="52"/>
      <c r="T114" s="52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8"/>
      <c r="S115" s="49"/>
      <c r="T115" s="49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1"/>
      <c r="S116" s="52"/>
      <c r="T116" s="52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8"/>
      <c r="S117" s="49"/>
      <c r="T117" s="49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1"/>
      <c r="S118" s="52"/>
      <c r="T118" s="52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8"/>
      <c r="S119" s="49"/>
      <c r="T119" s="49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1"/>
      <c r="S120" s="52"/>
      <c r="T120" s="52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8"/>
      <c r="S121" s="49"/>
      <c r="T121" s="49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1"/>
      <c r="S122" s="52"/>
      <c r="T122" s="52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8"/>
      <c r="S123" s="49"/>
      <c r="T123" s="49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1"/>
      <c r="S124" s="52"/>
      <c r="T124" s="52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8"/>
      <c r="S125" s="49"/>
      <c r="T125" s="49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1"/>
      <c r="S126" s="52"/>
      <c r="T126" s="52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8"/>
      <c r="S127" s="49"/>
      <c r="T127" s="49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1"/>
      <c r="S128" s="52"/>
      <c r="T128" s="52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8"/>
      <c r="S129" s="49"/>
      <c r="T129" s="49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1"/>
      <c r="S130" s="52"/>
      <c r="T130" s="52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8"/>
      <c r="S131" s="49"/>
      <c r="T131" s="49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1"/>
      <c r="S132" s="52"/>
      <c r="T132" s="52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8"/>
      <c r="S133" s="49"/>
      <c r="T133" s="49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1"/>
      <c r="S134" s="52"/>
      <c r="T134" s="52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8"/>
      <c r="S135" s="49"/>
      <c r="T135" s="49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1"/>
      <c r="S136" s="52"/>
      <c r="T136" s="52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8"/>
      <c r="S137" s="49"/>
      <c r="T137" s="49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1"/>
      <c r="S138" s="52"/>
      <c r="T138" s="52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8"/>
      <c r="S139" s="49"/>
      <c r="T139" s="49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1"/>
      <c r="S140" s="52"/>
      <c r="T140" s="52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8"/>
      <c r="S141" s="49"/>
      <c r="T141" s="49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1"/>
      <c r="S142" s="52"/>
      <c r="T142" s="52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8"/>
      <c r="S143" s="49"/>
      <c r="T143" s="49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1"/>
      <c r="S144" s="52"/>
      <c r="T144" s="52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8"/>
      <c r="S145" s="49"/>
      <c r="T145" s="49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1"/>
      <c r="S146" s="52"/>
      <c r="T146" s="52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8"/>
      <c r="S147" s="49"/>
      <c r="T147" s="49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1"/>
      <c r="S148" s="52"/>
      <c r="T148" s="52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8"/>
      <c r="S149" s="49"/>
      <c r="T149" s="49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1"/>
      <c r="S150" s="52"/>
      <c r="T150" s="52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8"/>
      <c r="S151" s="49"/>
      <c r="T151" s="49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1"/>
      <c r="S152" s="52"/>
      <c r="T152" s="52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8"/>
      <c r="S153" s="49"/>
      <c r="T153" s="49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1"/>
      <c r="S154" s="52"/>
      <c r="T154" s="52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8"/>
      <c r="S155" s="49"/>
      <c r="T155" s="49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1"/>
      <c r="S156" s="52"/>
      <c r="T156" s="52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8"/>
      <c r="S157" s="49"/>
      <c r="T157" s="49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1"/>
      <c r="S158" s="52"/>
      <c r="T158" s="52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8"/>
      <c r="S159" s="49"/>
      <c r="T159" s="49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1"/>
      <c r="S160" s="52"/>
      <c r="T160" s="52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8"/>
      <c r="S161" s="49"/>
      <c r="T161" s="49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1"/>
      <c r="S162" s="52"/>
      <c r="T162" s="52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8"/>
      <c r="S163" s="49"/>
      <c r="T163" s="49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1"/>
      <c r="S164" s="52"/>
      <c r="T164" s="52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8"/>
      <c r="S165" s="49"/>
      <c r="T165" s="49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1"/>
      <c r="S166" s="52"/>
      <c r="T166" s="52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8"/>
      <c r="S167" s="49"/>
      <c r="T167" s="49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1"/>
      <c r="S168" s="52"/>
      <c r="T168" s="52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8"/>
      <c r="S169" s="49"/>
      <c r="T169" s="49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1"/>
      <c r="S170" s="52"/>
      <c r="T170" s="52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8"/>
      <c r="S171" s="49"/>
      <c r="T171" s="49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1"/>
      <c r="S172" s="52"/>
      <c r="T172" s="52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8"/>
      <c r="S173" s="49"/>
      <c r="T173" s="49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1"/>
      <c r="S174" s="52"/>
      <c r="T174" s="52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8"/>
      <c r="S175" s="49"/>
      <c r="T175" s="49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1"/>
      <c r="S176" s="52"/>
      <c r="T176" s="52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8"/>
      <c r="S177" s="49"/>
      <c r="T177" s="49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1"/>
      <c r="S178" s="52"/>
      <c r="T178" s="52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8"/>
      <c r="S179" s="49"/>
      <c r="T179" s="49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1"/>
      <c r="S180" s="52"/>
      <c r="T180" s="52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8"/>
      <c r="S181" s="49"/>
      <c r="T181" s="49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1"/>
      <c r="S182" s="52"/>
      <c r="T182" s="52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8"/>
      <c r="S183" s="49"/>
      <c r="T183" s="49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1"/>
      <c r="S184" s="52"/>
      <c r="T184" s="52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8"/>
      <c r="S185" s="49"/>
      <c r="T185" s="49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1"/>
      <c r="S186" s="52"/>
      <c r="T186" s="52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8"/>
      <c r="S187" s="49"/>
      <c r="T187" s="49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1"/>
      <c r="S188" s="52"/>
      <c r="T188" s="52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8"/>
      <c r="S189" s="49"/>
      <c r="T189" s="49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1"/>
      <c r="S190" s="52"/>
      <c r="T190" s="52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8"/>
      <c r="S191" s="49"/>
      <c r="T191" s="49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1"/>
      <c r="S192" s="52"/>
      <c r="T192" s="52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8"/>
      <c r="S193" s="49"/>
      <c r="T193" s="49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1"/>
      <c r="S194" s="52"/>
      <c r="T194" s="52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8"/>
      <c r="S195" s="49"/>
      <c r="T195" s="49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1"/>
      <c r="S196" s="52"/>
      <c r="T196" s="52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8"/>
      <c r="S197" s="49"/>
      <c r="T197" s="49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1"/>
      <c r="S198" s="52"/>
      <c r="T198" s="52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8"/>
      <c r="S199" s="49"/>
      <c r="T199" s="49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1"/>
      <c r="S200" s="52"/>
      <c r="T200" s="52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8"/>
      <c r="S201" s="49"/>
      <c r="T201" s="49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1"/>
      <c r="S202" s="52"/>
      <c r="T202" s="52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8"/>
      <c r="S203" s="49"/>
      <c r="T203" s="49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1"/>
      <c r="S204" s="52"/>
      <c r="T204" s="52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8"/>
      <c r="S205" s="49"/>
      <c r="T205" s="49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3"/>
      <c r="S206" s="53"/>
      <c r="T206" s="53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54"/>
      <c r="S207" s="54"/>
      <c r="T207" s="54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3"/>
      <c r="S208" s="53"/>
      <c r="T208" s="53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54"/>
      <c r="S209" s="54"/>
      <c r="T209" s="54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3"/>
      <c r="S210" s="53"/>
      <c r="T210" s="53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54"/>
      <c r="S211" s="54"/>
      <c r="T211" s="54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3"/>
      <c r="S212" s="53"/>
      <c r="T212" s="53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54"/>
      <c r="S213" s="54"/>
      <c r="T213" s="54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3"/>
      <c r="S214" s="53"/>
      <c r="T214" s="53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54"/>
      <c r="S215" s="54"/>
      <c r="T215" s="54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3"/>
      <c r="S216" s="53"/>
      <c r="T216" s="53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54"/>
      <c r="S217" s="54"/>
      <c r="T217" s="54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3"/>
      <c r="S218" s="53"/>
      <c r="T218" s="53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54"/>
      <c r="S219" s="54"/>
      <c r="T219" s="54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3"/>
      <c r="S220" s="53"/>
      <c r="T220" s="53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54"/>
      <c r="S221" s="54"/>
      <c r="T221" s="54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3"/>
      <c r="S222" s="53"/>
      <c r="T222" s="53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54"/>
      <c r="S223" s="54"/>
      <c r="T223" s="54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3"/>
      <c r="S224" s="53"/>
      <c r="T224" s="53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54"/>
      <c r="S225" s="54"/>
      <c r="T225" s="54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3"/>
      <c r="S226" s="53"/>
      <c r="T226" s="53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54"/>
      <c r="S227" s="54"/>
      <c r="T227" s="54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3"/>
      <c r="S228" s="53"/>
      <c r="T228" s="53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54"/>
      <c r="S229" s="54"/>
      <c r="T229" s="54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3"/>
      <c r="S230" s="53"/>
      <c r="T230" s="53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54"/>
      <c r="S231" s="54"/>
      <c r="T231" s="54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3"/>
      <c r="S232" s="53"/>
      <c r="T232" s="53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54"/>
      <c r="S233" s="54"/>
      <c r="T233" s="54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3"/>
      <c r="S234" s="53"/>
      <c r="T234" s="53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54"/>
      <c r="S235" s="54"/>
      <c r="T235" s="54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3"/>
      <c r="S236" s="53"/>
      <c r="T236" s="53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54"/>
      <c r="S237" s="54"/>
      <c r="T237" s="54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3"/>
      <c r="S238" s="53"/>
      <c r="T238" s="53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54"/>
      <c r="S239" s="54"/>
      <c r="T239" s="54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3"/>
      <c r="S240" s="53"/>
      <c r="T240" s="53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54"/>
      <c r="S241" s="54"/>
      <c r="T241" s="54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3"/>
      <c r="S242" s="53"/>
      <c r="T242" s="53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54"/>
      <c r="S243" s="54"/>
      <c r="T243" s="54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3"/>
      <c r="S244" s="53"/>
      <c r="T244" s="53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54"/>
      <c r="S245" s="54"/>
      <c r="T245" s="54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3"/>
      <c r="S246" s="53"/>
      <c r="T246" s="53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54"/>
      <c r="S247" s="54"/>
      <c r="T247" s="54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3"/>
      <c r="S248" s="53"/>
      <c r="T248" s="53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54"/>
      <c r="S249" s="54"/>
      <c r="T249" s="54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3"/>
      <c r="S250" s="53"/>
      <c r="T250" s="53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54"/>
      <c r="S251" s="54"/>
      <c r="T251" s="54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3"/>
      <c r="S252" s="53"/>
      <c r="T252" s="53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54"/>
      <c r="S253" s="54"/>
      <c r="T253" s="54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3"/>
      <c r="S254" s="53"/>
      <c r="T254" s="53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54"/>
      <c r="S255" s="54"/>
      <c r="T255" s="54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3"/>
      <c r="S256" s="53"/>
      <c r="T256" s="53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54"/>
      <c r="S257" s="54"/>
      <c r="T257" s="54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3"/>
      <c r="S258" s="53"/>
      <c r="T258" s="53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54"/>
      <c r="S259" s="54"/>
      <c r="T259" s="54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3"/>
      <c r="S260" s="53"/>
      <c r="T260" s="53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54"/>
      <c r="S261" s="54"/>
      <c r="T261" s="54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3"/>
      <c r="S262" s="53"/>
      <c r="T262" s="53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54"/>
      <c r="S263" s="54"/>
      <c r="T263" s="54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3"/>
      <c r="S264" s="53"/>
      <c r="T264" s="53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54"/>
      <c r="S265" s="54"/>
      <c r="T265" s="54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3"/>
      <c r="S266" s="53"/>
      <c r="T266" s="53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54"/>
      <c r="S267" s="54"/>
      <c r="T267" s="54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3"/>
      <c r="S268" s="53"/>
      <c r="T268" s="53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54"/>
      <c r="S269" s="54"/>
      <c r="T269" s="54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3"/>
      <c r="S270" s="53"/>
      <c r="T270" s="53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54"/>
      <c r="S271" s="54"/>
      <c r="T271" s="54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3"/>
      <c r="S272" s="53"/>
      <c r="T272" s="53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54"/>
      <c r="S273" s="54"/>
      <c r="T273" s="54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3"/>
      <c r="S274" s="53"/>
      <c r="T274" s="53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54"/>
      <c r="S275" s="54"/>
      <c r="T275" s="54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3"/>
      <c r="S276" s="53"/>
      <c r="T276" s="53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54"/>
      <c r="S277" s="54"/>
      <c r="T277" s="54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3"/>
      <c r="S278" s="53"/>
      <c r="T278" s="53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54"/>
      <c r="S279" s="54"/>
      <c r="T279" s="54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3"/>
      <c r="S280" s="53"/>
      <c r="T280" s="53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54"/>
      <c r="S281" s="54"/>
      <c r="T281" s="54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3"/>
      <c r="S282" s="53"/>
      <c r="T282" s="53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54"/>
      <c r="S283" s="54"/>
      <c r="T283" s="54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3"/>
      <c r="S284" s="53"/>
      <c r="T284" s="53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54"/>
      <c r="S285" s="54"/>
      <c r="T285" s="54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3"/>
      <c r="S286" s="53"/>
      <c r="T286" s="53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54"/>
      <c r="S287" s="54"/>
      <c r="T287" s="54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3"/>
      <c r="S288" s="53"/>
      <c r="T288" s="53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54"/>
      <c r="S289" s="54"/>
      <c r="T289" s="54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3"/>
      <c r="S290" s="53"/>
      <c r="T290" s="53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54"/>
      <c r="S291" s="54"/>
      <c r="T291" s="54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3"/>
      <c r="S292" s="53"/>
      <c r="T292" s="53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54"/>
      <c r="S293" s="54"/>
      <c r="T293" s="54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3"/>
      <c r="S294" s="53"/>
      <c r="T294" s="53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54"/>
      <c r="S295" s="54"/>
      <c r="T295" s="54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3"/>
      <c r="S296" s="53"/>
      <c r="T296" s="53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54"/>
      <c r="S297" s="54"/>
      <c r="T297" s="54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3"/>
      <c r="S298" s="53"/>
      <c r="T298" s="53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54"/>
      <c r="S299" s="54"/>
      <c r="T299" s="54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3"/>
      <c r="S300" s="53"/>
      <c r="T300" s="53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54"/>
      <c r="S301" s="54"/>
      <c r="T301" s="54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3"/>
      <c r="S302" s="53"/>
      <c r="T302" s="53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54"/>
      <c r="S303" s="54"/>
      <c r="T303" s="54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3"/>
      <c r="S304" s="53"/>
      <c r="T304" s="53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54"/>
      <c r="S305" s="54"/>
      <c r="T305" s="54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3"/>
      <c r="S306" s="53"/>
      <c r="T306" s="53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54"/>
      <c r="S307" s="54"/>
      <c r="T307" s="54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3"/>
      <c r="S308" s="53"/>
      <c r="T308" s="53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54"/>
      <c r="S309" s="54"/>
      <c r="T309" s="54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3"/>
      <c r="S310" s="53"/>
      <c r="T310" s="53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54"/>
      <c r="S311" s="54"/>
      <c r="T311" s="54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3"/>
      <c r="S312" s="53"/>
      <c r="T312" s="53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54"/>
      <c r="S313" s="54"/>
      <c r="T313" s="54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3"/>
      <c r="S314" s="53"/>
      <c r="T314" s="53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54"/>
      <c r="S315" s="54"/>
      <c r="T315" s="54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3"/>
      <c r="S316" s="53"/>
      <c r="T316" s="53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54"/>
      <c r="S317" s="54"/>
      <c r="T317" s="54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3"/>
      <c r="S318" s="53"/>
      <c r="T318" s="53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54"/>
      <c r="S319" s="54"/>
      <c r="T319" s="54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3"/>
      <c r="S320" s="53"/>
      <c r="T320" s="53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54"/>
      <c r="S321" s="54"/>
      <c r="T321" s="54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3"/>
      <c r="S322" s="53"/>
      <c r="T322" s="53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54"/>
      <c r="S323" s="54"/>
      <c r="T323" s="54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3"/>
      <c r="S324" s="53"/>
      <c r="T324" s="53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54"/>
      <c r="S325" s="54"/>
      <c r="T325" s="54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3"/>
      <c r="S326" s="53"/>
      <c r="T326" s="53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54"/>
      <c r="S327" s="54"/>
      <c r="T327" s="54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3"/>
      <c r="S328" s="53"/>
      <c r="T328" s="53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54"/>
      <c r="S329" s="54"/>
      <c r="T329" s="54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3"/>
      <c r="S330" s="53"/>
      <c r="T330" s="53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54"/>
      <c r="S331" s="54"/>
      <c r="T331" s="54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3"/>
      <c r="S332" s="53"/>
      <c r="T332" s="53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54"/>
      <c r="S333" s="54"/>
      <c r="T333" s="54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3"/>
      <c r="S334" s="53"/>
      <c r="T334" s="53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54"/>
      <c r="S335" s="54"/>
      <c r="T335" s="54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3"/>
      <c r="S336" s="53"/>
      <c r="T336" s="53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54"/>
      <c r="S337" s="54"/>
      <c r="T337" s="54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3"/>
      <c r="S338" s="53"/>
      <c r="T338" s="53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54"/>
      <c r="S339" s="54"/>
      <c r="T339" s="54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3"/>
      <c r="S340" s="53"/>
      <c r="T340" s="53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54"/>
      <c r="S341" s="54"/>
      <c r="T341" s="54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3"/>
      <c r="S342" s="53"/>
      <c r="T342" s="53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54"/>
      <c r="S343" s="54"/>
      <c r="T343" s="54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3"/>
      <c r="S344" s="53"/>
      <c r="T344" s="53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54"/>
      <c r="S345" s="54"/>
      <c r="T345" s="54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3"/>
      <c r="S346" s="53"/>
      <c r="T346" s="53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54"/>
      <c r="S347" s="54"/>
      <c r="T347" s="54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3"/>
      <c r="S348" s="53"/>
      <c r="T348" s="53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54"/>
      <c r="S349" s="54"/>
      <c r="T349" s="54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3"/>
      <c r="S350" s="53"/>
      <c r="T350" s="53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54"/>
      <c r="S351" s="54"/>
      <c r="T351" s="54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3"/>
      <c r="S352" s="53"/>
      <c r="T352" s="53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54"/>
      <c r="S353" s="54"/>
      <c r="T353" s="54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3"/>
      <c r="S354" s="53"/>
      <c r="T354" s="53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54"/>
      <c r="S355" s="54"/>
      <c r="T355" s="54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3"/>
      <c r="S356" s="53"/>
      <c r="T356" s="53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54"/>
      <c r="S357" s="54"/>
      <c r="T357" s="54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3"/>
      <c r="S358" s="53"/>
      <c r="T358" s="53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54"/>
      <c r="S359" s="54"/>
      <c r="T359" s="54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3"/>
      <c r="S360" s="53"/>
      <c r="T360" s="53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54"/>
      <c r="S361" s="54"/>
      <c r="T361" s="54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3"/>
      <c r="S362" s="53"/>
      <c r="T362" s="53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54"/>
      <c r="S363" s="54"/>
      <c r="T363" s="54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3"/>
      <c r="S364" s="53"/>
      <c r="T364" s="53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54"/>
      <c r="S365" s="54"/>
      <c r="T365" s="54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3"/>
      <c r="S366" s="53"/>
      <c r="T366" s="53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54"/>
      <c r="S367" s="54"/>
      <c r="T367" s="54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3"/>
      <c r="S368" s="53"/>
      <c r="T368" s="53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54"/>
      <c r="S369" s="54"/>
      <c r="T369" s="54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3"/>
      <c r="S370" s="53"/>
      <c r="T370" s="53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54"/>
      <c r="S371" s="54"/>
      <c r="T371" s="54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3"/>
      <c r="S372" s="53"/>
      <c r="T372" s="53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54"/>
      <c r="S373" s="54"/>
      <c r="T373" s="54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3"/>
      <c r="S374" s="53"/>
      <c r="T374" s="53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54"/>
      <c r="S375" s="54"/>
      <c r="T375" s="54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3"/>
      <c r="S376" s="53"/>
      <c r="T376" s="53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54"/>
      <c r="S377" s="54"/>
      <c r="T377" s="54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3"/>
      <c r="S378" s="53"/>
      <c r="T378" s="53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54"/>
      <c r="S379" s="54"/>
      <c r="T379" s="54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3"/>
      <c r="S380" s="53"/>
      <c r="T380" s="53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54"/>
      <c r="S381" s="54"/>
      <c r="T381" s="54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3"/>
      <c r="S382" s="53"/>
      <c r="T382" s="53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54"/>
      <c r="S383" s="54"/>
      <c r="T383" s="54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3"/>
      <c r="S384" s="53"/>
      <c r="T384" s="53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54"/>
      <c r="S385" s="54"/>
      <c r="T385" s="54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3"/>
      <c r="S386" s="53"/>
      <c r="T386" s="53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54"/>
      <c r="S387" s="54"/>
      <c r="T387" s="54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3"/>
      <c r="S388" s="53"/>
      <c r="T388" s="53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54"/>
      <c r="S389" s="54"/>
      <c r="T389" s="54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3"/>
      <c r="S390" s="53"/>
      <c r="T390" s="53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54"/>
      <c r="S391" s="54"/>
      <c r="T391" s="54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3"/>
      <c r="S392" s="53"/>
      <c r="T392" s="53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54"/>
      <c r="S393" s="54"/>
      <c r="T393" s="54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3"/>
      <c r="S394" s="53"/>
      <c r="T394" s="53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54"/>
      <c r="S395" s="54"/>
      <c r="T395" s="54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3"/>
      <c r="S396" s="53"/>
      <c r="T396" s="53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54"/>
      <c r="S397" s="54"/>
      <c r="T397" s="54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3"/>
      <c r="S398" s="53"/>
      <c r="T398" s="53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54"/>
      <c r="S399" s="54"/>
      <c r="T399" s="54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3"/>
      <c r="S400" s="53"/>
      <c r="T400" s="53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54"/>
      <c r="S401" s="54"/>
      <c r="T401" s="54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3"/>
      <c r="S402" s="53"/>
      <c r="T402" s="53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54"/>
      <c r="S403" s="54"/>
      <c r="T403" s="54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3"/>
      <c r="S404" s="53"/>
      <c r="T404" s="53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54"/>
      <c r="S405" s="54"/>
      <c r="T405" s="54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3"/>
      <c r="S406" s="53"/>
      <c r="T406" s="53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54"/>
      <c r="S407" s="54"/>
      <c r="T407" s="54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3"/>
      <c r="S408" s="53"/>
      <c r="T408" s="53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54"/>
      <c r="S409" s="54"/>
      <c r="T409" s="54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3"/>
      <c r="S410" s="53"/>
      <c r="T410" s="53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54"/>
      <c r="S411" s="54"/>
      <c r="T411" s="54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3"/>
      <c r="S412" s="53"/>
      <c r="T412" s="53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54"/>
      <c r="S413" s="54"/>
      <c r="T413" s="54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3"/>
      <c r="S414" s="53"/>
      <c r="T414" s="53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54"/>
      <c r="S415" s="54"/>
      <c r="T415" s="54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3"/>
      <c r="S416" s="53"/>
      <c r="T416" s="53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54"/>
      <c r="S417" s="54"/>
      <c r="T417" s="54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3"/>
      <c r="S418" s="53"/>
      <c r="T418" s="53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54"/>
      <c r="S419" s="54"/>
      <c r="T419" s="54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3"/>
      <c r="S420" s="53"/>
      <c r="T420" s="53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54"/>
      <c r="S421" s="54"/>
      <c r="T421" s="54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3"/>
      <c r="S422" s="53"/>
      <c r="T422" s="53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54"/>
      <c r="S423" s="54"/>
      <c r="T423" s="54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3"/>
      <c r="S424" s="53"/>
      <c r="T424" s="53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54"/>
      <c r="S425" s="54"/>
      <c r="T425" s="54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3"/>
      <c r="S426" s="53"/>
      <c r="T426" s="53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54"/>
      <c r="S427" s="54"/>
      <c r="T427" s="54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3"/>
      <c r="S428" s="53"/>
      <c r="T428" s="53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54"/>
      <c r="S429" s="54"/>
      <c r="T429" s="54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3"/>
      <c r="S430" s="53"/>
      <c r="T430" s="53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54"/>
      <c r="S431" s="54"/>
      <c r="T431" s="54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3"/>
      <c r="S432" s="53"/>
      <c r="T432" s="53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54"/>
      <c r="S433" s="54"/>
      <c r="T433" s="54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3"/>
      <c r="S434" s="53"/>
      <c r="T434" s="53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54"/>
      <c r="S435" s="54"/>
      <c r="T435" s="54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3"/>
      <c r="S436" s="53"/>
      <c r="T436" s="53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54"/>
      <c r="S437" s="54"/>
      <c r="T437" s="54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3"/>
      <c r="S438" s="53"/>
      <c r="T438" s="53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54"/>
      <c r="S439" s="54"/>
      <c r="T439" s="54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3"/>
      <c r="S440" s="53"/>
      <c r="T440" s="53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54"/>
      <c r="S441" s="54"/>
      <c r="T441" s="54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3"/>
      <c r="S442" s="53"/>
      <c r="T442" s="53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54"/>
      <c r="S443" s="54"/>
      <c r="T443" s="54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3"/>
      <c r="S444" s="53"/>
      <c r="T444" s="53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54"/>
      <c r="S445" s="54"/>
      <c r="T445" s="54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3"/>
      <c r="S446" s="53"/>
      <c r="T446" s="53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54"/>
      <c r="S447" s="54"/>
      <c r="T447" s="54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3"/>
      <c r="S448" s="53"/>
      <c r="T448" s="53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54"/>
      <c r="S449" s="54"/>
      <c r="T449" s="54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3"/>
      <c r="S450" s="53"/>
      <c r="T450" s="53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54"/>
      <c r="S451" s="54"/>
      <c r="T451" s="54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3"/>
      <c r="S452" s="53"/>
      <c r="T452" s="53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54"/>
      <c r="S453" s="54"/>
      <c r="T453" s="54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3"/>
      <c r="S454" s="53"/>
      <c r="T454" s="53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54"/>
      <c r="S455" s="54"/>
      <c r="T455" s="54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3"/>
      <c r="S456" s="53"/>
      <c r="T456" s="53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54"/>
      <c r="S457" s="54"/>
      <c r="T457" s="54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3"/>
      <c r="S458" s="53"/>
      <c r="T458" s="53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54"/>
      <c r="S459" s="54"/>
      <c r="T459" s="54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3"/>
      <c r="S460" s="53"/>
      <c r="T460" s="53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54"/>
      <c r="S461" s="54"/>
      <c r="T461" s="54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3"/>
      <c r="S462" s="53"/>
      <c r="T462" s="53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54"/>
      <c r="S463" s="54"/>
      <c r="T463" s="54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3"/>
      <c r="S464" s="53"/>
      <c r="T464" s="53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54"/>
      <c r="S465" s="54"/>
      <c r="T465" s="54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3"/>
      <c r="S466" s="53"/>
      <c r="T466" s="53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54"/>
      <c r="S467" s="54"/>
      <c r="T467" s="54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3"/>
      <c r="S468" s="53"/>
      <c r="T468" s="53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54"/>
      <c r="S469" s="54"/>
      <c r="T469" s="54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3"/>
      <c r="S470" s="53"/>
      <c r="T470" s="53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54"/>
      <c r="S471" s="54"/>
      <c r="T471" s="54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3"/>
      <c r="S472" s="53"/>
      <c r="T472" s="53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54"/>
      <c r="S473" s="54"/>
      <c r="T473" s="54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3"/>
      <c r="S474" s="53"/>
      <c r="T474" s="53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54"/>
      <c r="S475" s="54"/>
      <c r="T475" s="54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3"/>
      <c r="S476" s="53"/>
      <c r="T476" s="53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54"/>
      <c r="S477" s="54"/>
      <c r="T477" s="54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3"/>
      <c r="S478" s="53"/>
      <c r="T478" s="53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54"/>
      <c r="S479" s="54"/>
      <c r="T479" s="54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3"/>
      <c r="S480" s="53"/>
      <c r="T480" s="53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54"/>
      <c r="S481" s="54"/>
      <c r="T481" s="54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3"/>
      <c r="S482" s="53"/>
      <c r="T482" s="53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54"/>
      <c r="S483" s="54"/>
      <c r="T483" s="54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3"/>
      <c r="S484" s="53"/>
      <c r="T484" s="53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54"/>
      <c r="S485" s="54"/>
      <c r="T485" s="54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3"/>
      <c r="S486" s="53"/>
      <c r="T486" s="53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54"/>
      <c r="S487" s="54"/>
      <c r="T487" s="54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3"/>
      <c r="S488" s="53"/>
      <c r="T488" s="53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54"/>
      <c r="S489" s="54"/>
      <c r="T489" s="54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3"/>
      <c r="S490" s="53"/>
      <c r="T490" s="53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54"/>
      <c r="S491" s="54"/>
      <c r="T491" s="54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3"/>
      <c r="S492" s="53"/>
      <c r="T492" s="53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54"/>
      <c r="S493" s="54"/>
      <c r="T493" s="54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3"/>
      <c r="S494" s="53"/>
      <c r="T494" s="53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54"/>
      <c r="S495" s="54"/>
      <c r="T495" s="54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3"/>
      <c r="S496" s="53"/>
      <c r="T496" s="53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54"/>
      <c r="S497" s="54"/>
      <c r="T497" s="54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3"/>
      <c r="S498" s="53"/>
      <c r="T498" s="53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54"/>
      <c r="S499" s="54"/>
      <c r="T499" s="54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3"/>
      <c r="S500" s="53"/>
      <c r="T500" s="53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54"/>
      <c r="S501" s="54"/>
      <c r="T501" s="54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3"/>
      <c r="S502" s="53"/>
      <c r="T502" s="53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54"/>
      <c r="S503" s="54"/>
      <c r="T503" s="54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3"/>
      <c r="S504" s="53"/>
      <c r="T504" s="53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54"/>
      <c r="S505" s="54"/>
      <c r="T505" s="54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3"/>
      <c r="S506" s="53"/>
      <c r="T506" s="53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54"/>
      <c r="S507" s="54"/>
      <c r="T507" s="54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3"/>
      <c r="S508" s="53"/>
      <c r="T508" s="53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54"/>
      <c r="S509" s="54"/>
      <c r="T509" s="54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3"/>
      <c r="S510" s="53"/>
      <c r="T510" s="53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54"/>
      <c r="S511" s="54"/>
      <c r="T511" s="54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3"/>
      <c r="S512" s="53"/>
      <c r="T512" s="53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54"/>
      <c r="S513" s="54"/>
      <c r="T513" s="54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3"/>
      <c r="S514" s="53"/>
      <c r="T514" s="53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54"/>
      <c r="S515" s="54"/>
      <c r="T515" s="54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3"/>
      <c r="S516" s="53"/>
      <c r="T516" s="53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54"/>
      <c r="S517" s="54"/>
      <c r="T517" s="54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3"/>
      <c r="S518" s="53"/>
      <c r="T518" s="53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54"/>
      <c r="S519" s="54"/>
      <c r="T519" s="54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3"/>
      <c r="S520" s="53"/>
      <c r="T520" s="53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54"/>
      <c r="S521" s="54"/>
      <c r="T521" s="54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3"/>
      <c r="S522" s="53"/>
      <c r="T522" s="53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54"/>
      <c r="S523" s="54"/>
      <c r="T523" s="54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3"/>
      <c r="S524" s="53"/>
      <c r="T524" s="53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54"/>
      <c r="S525" s="54"/>
      <c r="T525" s="54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3"/>
      <c r="S526" s="53"/>
      <c r="T526" s="53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54"/>
      <c r="S527" s="54"/>
      <c r="T527" s="54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3"/>
      <c r="S528" s="53"/>
      <c r="T528" s="53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54"/>
      <c r="S529" s="54"/>
      <c r="T529" s="54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3"/>
      <c r="S530" s="53"/>
      <c r="T530" s="53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54"/>
      <c r="S531" s="54"/>
      <c r="T531" s="54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3"/>
      <c r="S532" s="53"/>
      <c r="T532" s="53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54"/>
      <c r="S533" s="54"/>
      <c r="T533" s="54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3"/>
      <c r="S534" s="53"/>
      <c r="T534" s="53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54"/>
      <c r="S535" s="54"/>
      <c r="T535" s="54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3"/>
      <c r="S536" s="53"/>
      <c r="T536" s="53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54"/>
      <c r="S537" s="54"/>
      <c r="T537" s="54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3"/>
      <c r="S538" s="53"/>
      <c r="T538" s="53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54"/>
      <c r="S539" s="54"/>
      <c r="T539" s="54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3"/>
      <c r="S540" s="53"/>
      <c r="T540" s="53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54"/>
      <c r="S541" s="54"/>
      <c r="T541" s="54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3"/>
      <c r="S542" s="53"/>
      <c r="T542" s="53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54"/>
      <c r="S543" s="54"/>
      <c r="T543" s="54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3"/>
      <c r="S544" s="53"/>
      <c r="T544" s="53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54"/>
      <c r="S545" s="54"/>
      <c r="T545" s="54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3"/>
      <c r="S546" s="53"/>
      <c r="T546" s="53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54"/>
      <c r="S547" s="54"/>
      <c r="T547" s="54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3"/>
      <c r="S548" s="53"/>
      <c r="T548" s="53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54"/>
      <c r="S549" s="54"/>
      <c r="T549" s="54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3"/>
      <c r="S550" s="53"/>
      <c r="T550" s="53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54"/>
      <c r="S551" s="54"/>
      <c r="T551" s="54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3"/>
      <c r="S552" s="53"/>
      <c r="T552" s="53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54"/>
      <c r="S553" s="54"/>
      <c r="T553" s="54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3"/>
      <c r="S554" s="53"/>
      <c r="T554" s="53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54"/>
      <c r="S555" s="54"/>
      <c r="T555" s="54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3"/>
      <c r="S556" s="53"/>
      <c r="T556" s="53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54"/>
      <c r="S557" s="54"/>
      <c r="T557" s="54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3"/>
      <c r="S558" s="53"/>
      <c r="T558" s="53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54"/>
      <c r="S559" s="54"/>
      <c r="T559" s="54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3"/>
      <c r="S560" s="53"/>
      <c r="T560" s="53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54"/>
      <c r="S561" s="54"/>
      <c r="T561" s="54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3"/>
      <c r="S562" s="53"/>
      <c r="T562" s="53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54"/>
      <c r="S563" s="54"/>
      <c r="T563" s="54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3"/>
      <c r="S564" s="53"/>
      <c r="T564" s="53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54"/>
      <c r="S565" s="54"/>
      <c r="T565" s="54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3"/>
      <c r="S566" s="53"/>
      <c r="T566" s="53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54"/>
      <c r="S567" s="54"/>
      <c r="T567" s="54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3"/>
      <c r="S568" s="53"/>
      <c r="T568" s="53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54"/>
      <c r="S569" s="54"/>
      <c r="T569" s="54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3"/>
      <c r="S570" s="53"/>
      <c r="T570" s="53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54"/>
      <c r="S571" s="54"/>
      <c r="T571" s="54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3"/>
      <c r="S572" s="53"/>
      <c r="T572" s="53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54"/>
      <c r="S573" s="54"/>
      <c r="T573" s="54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3"/>
      <c r="S574" s="53"/>
      <c r="T574" s="53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54"/>
      <c r="S575" s="54"/>
      <c r="T575" s="54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3"/>
      <c r="S576" s="53"/>
      <c r="T576" s="53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54"/>
      <c r="S577" s="54"/>
      <c r="T577" s="54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3"/>
      <c r="S578" s="53"/>
      <c r="T578" s="53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54"/>
      <c r="S579" s="54"/>
      <c r="T579" s="54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3"/>
      <c r="S580" s="53"/>
      <c r="T580" s="53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54"/>
      <c r="S581" s="54"/>
      <c r="T581" s="54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3"/>
      <c r="S582" s="53"/>
      <c r="T582" s="53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54"/>
      <c r="S583" s="54"/>
      <c r="T583" s="54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3"/>
      <c r="S584" s="53"/>
      <c r="T584" s="53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54"/>
      <c r="S585" s="54"/>
      <c r="T585" s="54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3"/>
      <c r="S586" s="53"/>
      <c r="T586" s="53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54"/>
      <c r="S587" s="54"/>
      <c r="T587" s="54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3"/>
      <c r="S588" s="53"/>
      <c r="T588" s="53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54"/>
      <c r="S589" s="54"/>
      <c r="T589" s="54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3"/>
      <c r="S590" s="53"/>
      <c r="T590" s="53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54"/>
      <c r="S591" s="54"/>
      <c r="T591" s="54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3"/>
      <c r="S592" s="53"/>
      <c r="T592" s="53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54"/>
      <c r="S593" s="54"/>
      <c r="T593" s="54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3"/>
      <c r="S594" s="53"/>
      <c r="T594" s="53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54"/>
      <c r="S595" s="54"/>
      <c r="T595" s="54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3"/>
      <c r="S596" s="53"/>
      <c r="T596" s="53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54"/>
      <c r="S597" s="54"/>
      <c r="T597" s="54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3"/>
      <c r="S598" s="53"/>
      <c r="T598" s="53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54"/>
      <c r="S599" s="54"/>
      <c r="T599" s="54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3"/>
      <c r="S600" s="53"/>
      <c r="T600" s="53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54"/>
      <c r="S601" s="54"/>
      <c r="T601" s="54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3"/>
      <c r="S602" s="53"/>
      <c r="T602" s="53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54"/>
      <c r="S603" s="54"/>
      <c r="T603" s="54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3"/>
      <c r="S604" s="53"/>
      <c r="T604" s="53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54"/>
      <c r="S605" s="54"/>
      <c r="T605" s="54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3"/>
      <c r="S606" s="53"/>
      <c r="T606" s="53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54"/>
      <c r="S607" s="54"/>
      <c r="T607" s="54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3"/>
      <c r="S608" s="53"/>
      <c r="T608" s="53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54"/>
      <c r="S609" s="54"/>
      <c r="T609" s="54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3"/>
      <c r="S610" s="53"/>
      <c r="T610" s="53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54"/>
      <c r="S611" s="54"/>
      <c r="T611" s="54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3"/>
      <c r="S612" s="53"/>
      <c r="T612" s="53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54"/>
      <c r="S613" s="54"/>
      <c r="T613" s="54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3"/>
      <c r="S614" s="53"/>
      <c r="T614" s="53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54"/>
      <c r="S615" s="54"/>
      <c r="T615" s="54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3"/>
      <c r="S616" s="53"/>
      <c r="T616" s="53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54"/>
      <c r="S617" s="54"/>
      <c r="T617" s="54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3"/>
      <c r="S618" s="53"/>
      <c r="T618" s="53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54"/>
      <c r="S619" s="54"/>
      <c r="T619" s="54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3"/>
      <c r="S620" s="53"/>
      <c r="T620" s="53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54"/>
      <c r="S621" s="54"/>
      <c r="T621" s="54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3"/>
      <c r="S622" s="53"/>
      <c r="T622" s="53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54"/>
      <c r="S623" s="54"/>
      <c r="T623" s="54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3"/>
      <c r="S624" s="53"/>
      <c r="T624" s="53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54"/>
      <c r="S625" s="54"/>
      <c r="T625" s="54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3"/>
      <c r="S626" s="53"/>
      <c r="T626" s="53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54"/>
      <c r="S627" s="54"/>
      <c r="T627" s="54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3"/>
      <c r="S628" s="53"/>
      <c r="T628" s="53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54"/>
      <c r="S629" s="54"/>
      <c r="T629" s="54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3"/>
      <c r="S630" s="53"/>
      <c r="T630" s="53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54"/>
      <c r="S631" s="54"/>
      <c r="T631" s="54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3"/>
      <c r="S632" s="53"/>
      <c r="T632" s="53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54"/>
      <c r="S633" s="54"/>
      <c r="T633" s="54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3"/>
      <c r="S634" s="53"/>
      <c r="T634" s="53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54"/>
      <c r="S635" s="54"/>
      <c r="T635" s="54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3"/>
      <c r="S636" s="53"/>
      <c r="T636" s="53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54"/>
      <c r="S637" s="54"/>
      <c r="T637" s="54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3"/>
      <c r="S638" s="53"/>
      <c r="T638" s="53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54"/>
      <c r="S639" s="54"/>
      <c r="T639" s="54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3"/>
      <c r="S640" s="53"/>
      <c r="T640" s="53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54"/>
      <c r="S641" s="54"/>
      <c r="T641" s="54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3"/>
      <c r="S642" s="53"/>
      <c r="T642" s="53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54"/>
      <c r="S643" s="54"/>
      <c r="T643" s="54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3"/>
      <c r="S644" s="53"/>
      <c r="T644" s="53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54"/>
      <c r="S645" s="54"/>
      <c r="T645" s="54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3"/>
      <c r="S646" s="53"/>
      <c r="T646" s="53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54"/>
      <c r="S647" s="54"/>
      <c r="T647" s="54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3"/>
      <c r="S648" s="53"/>
      <c r="T648" s="53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54"/>
      <c r="S649" s="54"/>
      <c r="T649" s="54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3"/>
      <c r="S650" s="53"/>
      <c r="T650" s="53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54"/>
      <c r="S651" s="54"/>
      <c r="T651" s="54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3"/>
      <c r="S652" s="53"/>
      <c r="T652" s="53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54"/>
      <c r="S653" s="54"/>
      <c r="T653" s="54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3"/>
      <c r="S654" s="53"/>
      <c r="T654" s="53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54"/>
      <c r="S655" s="54"/>
      <c r="T655" s="54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3"/>
      <c r="S656" s="53"/>
      <c r="T656" s="53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54"/>
      <c r="S657" s="54"/>
      <c r="T657" s="54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3"/>
      <c r="S658" s="53"/>
      <c r="T658" s="53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54"/>
      <c r="S659" s="54"/>
      <c r="T659" s="54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3"/>
      <c r="S660" s="53"/>
      <c r="T660" s="53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54"/>
      <c r="S661" s="54"/>
      <c r="T661" s="54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3"/>
      <c r="S662" s="53"/>
      <c r="T662" s="53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54"/>
      <c r="S663" s="54"/>
      <c r="T663" s="54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3"/>
      <c r="S664" s="53"/>
      <c r="T664" s="53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54"/>
      <c r="S665" s="54"/>
      <c r="T665" s="54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3"/>
      <c r="S666" s="53"/>
      <c r="T666" s="53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54"/>
      <c r="S667" s="54"/>
      <c r="T667" s="54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3"/>
      <c r="S668" s="53"/>
      <c r="T668" s="53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54"/>
      <c r="S669" s="54"/>
      <c r="T669" s="54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3"/>
      <c r="S670" s="53"/>
      <c r="T670" s="53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54"/>
      <c r="S671" s="54"/>
      <c r="T671" s="54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3"/>
      <c r="S672" s="53"/>
      <c r="T672" s="53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54"/>
      <c r="S673" s="54"/>
      <c r="T673" s="54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3"/>
      <c r="S674" s="53"/>
      <c r="T674" s="53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54"/>
      <c r="S675" s="54"/>
      <c r="T675" s="54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3"/>
      <c r="S676" s="53"/>
      <c r="T676" s="53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54"/>
      <c r="S677" s="54"/>
      <c r="T677" s="54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3"/>
      <c r="S678" s="53"/>
      <c r="T678" s="53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54"/>
      <c r="S679" s="54"/>
      <c r="T679" s="54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3"/>
      <c r="S680" s="53"/>
      <c r="T680" s="53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54"/>
      <c r="S681" s="54"/>
      <c r="T681" s="54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3"/>
      <c r="S682" s="53"/>
      <c r="T682" s="53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54"/>
      <c r="S683" s="54"/>
      <c r="T683" s="54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3"/>
      <c r="S684" s="53"/>
      <c r="T684" s="53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54"/>
      <c r="S685" s="54"/>
      <c r="T685" s="54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3"/>
      <c r="S686" s="53"/>
      <c r="T686" s="53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54"/>
      <c r="S687" s="54"/>
      <c r="T687" s="54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3"/>
      <c r="S688" s="53"/>
      <c r="T688" s="53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54"/>
      <c r="S689" s="54"/>
      <c r="T689" s="54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3"/>
      <c r="S690" s="53"/>
      <c r="T690" s="53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54"/>
      <c r="S691" s="54"/>
      <c r="T691" s="54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3"/>
      <c r="S692" s="53"/>
      <c r="T692" s="53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54"/>
      <c r="S693" s="54"/>
      <c r="T693" s="54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3"/>
      <c r="S694" s="53"/>
      <c r="T694" s="53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54"/>
      <c r="S695" s="54"/>
      <c r="T695" s="54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3"/>
      <c r="S696" s="53"/>
      <c r="T696" s="53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54"/>
      <c r="S697" s="54"/>
      <c r="T697" s="54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3"/>
      <c r="S698" s="53"/>
      <c r="T698" s="53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54"/>
      <c r="S699" s="54"/>
      <c r="T699" s="54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3"/>
      <c r="S700" s="53"/>
      <c r="T700" s="53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54"/>
      <c r="S701" s="54"/>
      <c r="T701" s="54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3"/>
      <c r="S702" s="53"/>
      <c r="T702" s="53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54"/>
      <c r="S703" s="54"/>
      <c r="T703" s="54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3"/>
      <c r="S704" s="53"/>
      <c r="T704" s="53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54"/>
      <c r="S705" s="54"/>
      <c r="T705" s="54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3"/>
      <c r="S706" s="53"/>
      <c r="T706" s="53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54"/>
      <c r="S707" s="54"/>
      <c r="T707" s="54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3"/>
      <c r="S708" s="53"/>
      <c r="T708" s="53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54"/>
      <c r="S709" s="54"/>
      <c r="T709" s="54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3"/>
      <c r="S710" s="53"/>
      <c r="T710" s="53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54"/>
      <c r="S711" s="54"/>
      <c r="T711" s="54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3"/>
      <c r="S712" s="53"/>
      <c r="T712" s="53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54"/>
      <c r="S713" s="54"/>
      <c r="T713" s="54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3"/>
      <c r="S714" s="53"/>
      <c r="T714" s="53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54"/>
      <c r="S715" s="54"/>
      <c r="T715" s="54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3"/>
      <c r="S716" s="53"/>
      <c r="T716" s="53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54"/>
      <c r="S717" s="54"/>
      <c r="T717" s="54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3"/>
      <c r="S718" s="53"/>
      <c r="T718" s="53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54"/>
      <c r="S719" s="54"/>
      <c r="T719" s="54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3"/>
      <c r="S720" s="53"/>
      <c r="T720" s="53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54"/>
      <c r="S721" s="54"/>
      <c r="T721" s="54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3"/>
      <c r="S722" s="53"/>
      <c r="T722" s="53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54"/>
      <c r="S723" s="54"/>
      <c r="T723" s="54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3"/>
      <c r="S724" s="53"/>
      <c r="T724" s="53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54"/>
      <c r="S725" s="54"/>
      <c r="T725" s="54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3"/>
      <c r="S726" s="53"/>
      <c r="T726" s="53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54"/>
      <c r="S727" s="54"/>
      <c r="T727" s="54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3"/>
      <c r="S728" s="53"/>
      <c r="T728" s="53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54"/>
      <c r="S729" s="54"/>
      <c r="T729" s="54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3"/>
      <c r="S730" s="53"/>
      <c r="T730" s="53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54"/>
      <c r="S731" s="54"/>
      <c r="T731" s="54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3"/>
      <c r="S732" s="53"/>
      <c r="T732" s="53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54"/>
      <c r="S733" s="54"/>
      <c r="T733" s="54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3"/>
      <c r="S734" s="53"/>
      <c r="T734" s="53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54"/>
      <c r="S735" s="54"/>
      <c r="T735" s="54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3"/>
      <c r="S736" s="53"/>
      <c r="T736" s="53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54"/>
      <c r="S737" s="54"/>
      <c r="T737" s="54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3"/>
      <c r="S738" s="53"/>
      <c r="T738" s="53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54"/>
      <c r="S739" s="54"/>
      <c r="T739" s="54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3"/>
      <c r="S740" s="53"/>
      <c r="T740" s="53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54"/>
      <c r="S741" s="54"/>
      <c r="T741" s="54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3"/>
      <c r="S742" s="53"/>
      <c r="T742" s="53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54"/>
      <c r="S743" s="54"/>
      <c r="T743" s="54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3"/>
      <c r="S744" s="53"/>
      <c r="T744" s="53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54"/>
      <c r="S745" s="54"/>
      <c r="T745" s="54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3"/>
      <c r="S746" s="53"/>
      <c r="T746" s="53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54"/>
      <c r="S747" s="54"/>
      <c r="T747" s="54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3"/>
      <c r="S748" s="53"/>
      <c r="T748" s="53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54"/>
      <c r="S749" s="54"/>
      <c r="T749" s="54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3"/>
      <c r="S750" s="53"/>
      <c r="T750" s="53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54"/>
      <c r="S751" s="54"/>
      <c r="T751" s="54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3"/>
      <c r="S752" s="53"/>
      <c r="T752" s="53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54"/>
      <c r="S753" s="54"/>
      <c r="T753" s="54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3"/>
      <c r="S754" s="53"/>
      <c r="T754" s="53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54"/>
      <c r="S755" s="54"/>
      <c r="T755" s="54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3"/>
      <c r="S756" s="53"/>
      <c r="T756" s="53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54"/>
      <c r="S757" s="54"/>
      <c r="T757" s="54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3"/>
      <c r="S758" s="53"/>
      <c r="T758" s="53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54"/>
      <c r="S759" s="54"/>
      <c r="T759" s="54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3"/>
      <c r="S760" s="53"/>
      <c r="T760" s="53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54"/>
      <c r="S761" s="54"/>
      <c r="T761" s="54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3"/>
      <c r="S762" s="53"/>
      <c r="T762" s="53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54"/>
      <c r="S763" s="54"/>
      <c r="T763" s="54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3"/>
      <c r="S764" s="53"/>
      <c r="T764" s="53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54"/>
      <c r="S765" s="54"/>
      <c r="T765" s="54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3"/>
      <c r="S766" s="53"/>
      <c r="T766" s="53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54"/>
      <c r="S767" s="54"/>
      <c r="T767" s="54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3"/>
      <c r="S768" s="53"/>
      <c r="T768" s="53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54"/>
      <c r="S769" s="54"/>
      <c r="T769" s="54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3"/>
      <c r="S770" s="53"/>
      <c r="T770" s="53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54"/>
      <c r="S771" s="54"/>
      <c r="T771" s="54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3"/>
      <c r="S772" s="53"/>
      <c r="T772" s="53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54"/>
      <c r="S773" s="54"/>
      <c r="T773" s="54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3"/>
      <c r="S774" s="53"/>
      <c r="T774" s="53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54"/>
      <c r="S775" s="54"/>
      <c r="T775" s="54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3"/>
      <c r="S776" s="53"/>
      <c r="T776" s="53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54"/>
      <c r="S777" s="54"/>
      <c r="T777" s="54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3"/>
      <c r="S778" s="53"/>
      <c r="T778" s="53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54"/>
      <c r="S779" s="54"/>
      <c r="T779" s="54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3"/>
      <c r="S780" s="53"/>
      <c r="T780" s="53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54"/>
      <c r="S781" s="54"/>
      <c r="T781" s="54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3"/>
      <c r="S782" s="53"/>
      <c r="T782" s="53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54"/>
      <c r="S783" s="54"/>
      <c r="T783" s="54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3"/>
      <c r="S784" s="53"/>
      <c r="T784" s="53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54"/>
      <c r="S785" s="54"/>
      <c r="T785" s="54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3"/>
      <c r="S786" s="53"/>
      <c r="T786" s="53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54"/>
      <c r="S787" s="54"/>
      <c r="T787" s="54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3"/>
      <c r="S788" s="53"/>
      <c r="T788" s="53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54"/>
      <c r="S789" s="54"/>
      <c r="T789" s="54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3"/>
      <c r="S790" s="53"/>
      <c r="T790" s="53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54"/>
      <c r="S791" s="54"/>
      <c r="T791" s="54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3"/>
      <c r="S792" s="53"/>
      <c r="T792" s="53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54"/>
      <c r="S793" s="54"/>
      <c r="T793" s="54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3"/>
      <c r="S794" s="53"/>
      <c r="T794" s="53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54"/>
      <c r="S795" s="54"/>
      <c r="T795" s="54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3"/>
      <c r="S796" s="53"/>
      <c r="T796" s="53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54"/>
      <c r="S797" s="54"/>
      <c r="T797" s="54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3"/>
      <c r="S798" s="53"/>
      <c r="T798" s="53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54"/>
      <c r="S799" s="54"/>
      <c r="T799" s="54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3"/>
      <c r="S800" s="53"/>
      <c r="T800" s="53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54"/>
      <c r="S801" s="54"/>
      <c r="T801" s="54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3"/>
      <c r="S802" s="53"/>
      <c r="T802" s="53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54"/>
      <c r="S803" s="54"/>
      <c r="T803" s="54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3"/>
      <c r="S804" s="53"/>
      <c r="T804" s="53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54"/>
      <c r="S805" s="54"/>
      <c r="T805" s="54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3"/>
      <c r="S806" s="53"/>
      <c r="T806" s="53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54"/>
      <c r="S807" s="54"/>
      <c r="T807" s="54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3"/>
      <c r="S808" s="53"/>
      <c r="T808" s="53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54"/>
      <c r="S809" s="54"/>
      <c r="T809" s="54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3"/>
      <c r="S810" s="53"/>
      <c r="T810" s="53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54"/>
      <c r="S811" s="54"/>
      <c r="T811" s="54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3"/>
      <c r="S812" s="53"/>
      <c r="T812" s="53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54"/>
      <c r="S813" s="54"/>
      <c r="T813" s="54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3"/>
      <c r="S814" s="53"/>
      <c r="T814" s="53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54"/>
      <c r="S815" s="54"/>
      <c r="T815" s="54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3"/>
      <c r="S816" s="53"/>
      <c r="T816" s="53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54"/>
      <c r="S817" s="54"/>
      <c r="T817" s="54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3"/>
      <c r="S818" s="53"/>
      <c r="T818" s="53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54"/>
      <c r="S819" s="54"/>
      <c r="T819" s="54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3"/>
      <c r="S820" s="53"/>
      <c r="T820" s="53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54"/>
      <c r="S821" s="54"/>
      <c r="T821" s="54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3"/>
      <c r="S822" s="53"/>
      <c r="T822" s="53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54"/>
      <c r="S823" s="54"/>
      <c r="T823" s="54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3"/>
      <c r="S824" s="53"/>
      <c r="T824" s="53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54"/>
      <c r="S825" s="54"/>
      <c r="T825" s="54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3"/>
      <c r="S826" s="53"/>
      <c r="T826" s="53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54"/>
      <c r="S827" s="54"/>
      <c r="T827" s="54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3"/>
      <c r="S828" s="53"/>
      <c r="T828" s="53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54"/>
      <c r="S829" s="54"/>
      <c r="T829" s="54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3"/>
      <c r="S830" s="53"/>
      <c r="T830" s="53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54"/>
      <c r="S831" s="54"/>
      <c r="T831" s="54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3"/>
      <c r="S832" s="53"/>
      <c r="T832" s="53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54"/>
      <c r="S833" s="54"/>
      <c r="T833" s="54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3"/>
      <c r="S834" s="53"/>
      <c r="T834" s="53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54"/>
      <c r="S835" s="54"/>
      <c r="T835" s="54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3"/>
      <c r="S836" s="53"/>
      <c r="T836" s="53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54"/>
      <c r="S837" s="54"/>
      <c r="T837" s="54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3"/>
      <c r="S838" s="53"/>
      <c r="T838" s="53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54"/>
      <c r="S839" s="54"/>
      <c r="T839" s="54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3"/>
      <c r="S840" s="53"/>
      <c r="T840" s="53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54"/>
      <c r="S841" s="54"/>
      <c r="T841" s="54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3"/>
      <c r="S842" s="53"/>
      <c r="T842" s="53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54"/>
      <c r="S843" s="54"/>
      <c r="T843" s="54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3"/>
      <c r="S844" s="53"/>
      <c r="T844" s="53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54"/>
      <c r="S845" s="54"/>
      <c r="T845" s="54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3"/>
      <c r="S846" s="53"/>
      <c r="T846" s="53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54"/>
      <c r="S847" s="54"/>
      <c r="T847" s="54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3"/>
      <c r="S848" s="53"/>
      <c r="T848" s="53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54"/>
      <c r="S849" s="54"/>
      <c r="T849" s="54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3"/>
      <c r="S850" s="53"/>
      <c r="T850" s="53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54"/>
      <c r="S851" s="54"/>
      <c r="T851" s="54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3"/>
      <c r="S852" s="53"/>
      <c r="T852" s="53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54"/>
      <c r="S853" s="54"/>
      <c r="T853" s="54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3"/>
      <c r="S854" s="53"/>
      <c r="T854" s="53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54"/>
      <c r="S855" s="54"/>
      <c r="T855" s="54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3"/>
      <c r="S856" s="53"/>
      <c r="T856" s="53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54"/>
      <c r="S857" s="54"/>
      <c r="T857" s="54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3"/>
      <c r="S858" s="53"/>
      <c r="T858" s="53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54"/>
      <c r="S859" s="54"/>
      <c r="T859" s="54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3"/>
      <c r="S860" s="53"/>
      <c r="T860" s="53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54"/>
      <c r="S861" s="54"/>
      <c r="T861" s="54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3"/>
      <c r="S862" s="53"/>
      <c r="T862" s="53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54"/>
      <c r="S863" s="54"/>
      <c r="T863" s="54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3"/>
      <c r="S864" s="53"/>
      <c r="T864" s="53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54"/>
      <c r="S865" s="54"/>
      <c r="T865" s="54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3"/>
      <c r="S866" s="53"/>
      <c r="T866" s="53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54"/>
      <c r="S867" s="54"/>
      <c r="T867" s="54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3"/>
      <c r="S868" s="53"/>
      <c r="T868" s="53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54"/>
      <c r="S869" s="54"/>
      <c r="T869" s="54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3"/>
      <c r="S870" s="53"/>
      <c r="T870" s="53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54"/>
      <c r="S871" s="54"/>
      <c r="T871" s="54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3"/>
      <c r="S872" s="53"/>
      <c r="T872" s="53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54"/>
      <c r="S873" s="54"/>
      <c r="T873" s="54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3"/>
      <c r="S874" s="53"/>
      <c r="T874" s="53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54"/>
      <c r="S875" s="54"/>
      <c r="T875" s="54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3"/>
      <c r="S876" s="53"/>
      <c r="T876" s="53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54"/>
      <c r="S877" s="54"/>
      <c r="T877" s="54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3"/>
      <c r="S878" s="53"/>
      <c r="T878" s="53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54"/>
      <c r="S879" s="54"/>
      <c r="T879" s="54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3"/>
      <c r="S880" s="53"/>
      <c r="T880" s="53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54"/>
      <c r="S881" s="54"/>
      <c r="T881" s="54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3"/>
      <c r="S882" s="53"/>
      <c r="T882" s="53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54"/>
      <c r="S883" s="54"/>
      <c r="T883" s="54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3"/>
      <c r="S884" s="53"/>
      <c r="T884" s="53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54"/>
      <c r="S885" s="54"/>
      <c r="T885" s="54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3"/>
      <c r="S886" s="53"/>
      <c r="T886" s="53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54"/>
      <c r="S887" s="54"/>
      <c r="T887" s="54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3"/>
      <c r="S888" s="53"/>
      <c r="T888" s="53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54"/>
      <c r="S889" s="54"/>
      <c r="T889" s="54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3"/>
      <c r="S890" s="53"/>
      <c r="T890" s="53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54"/>
      <c r="S891" s="54"/>
      <c r="T891" s="54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3"/>
      <c r="S892" s="53"/>
      <c r="T892" s="53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54"/>
      <c r="S893" s="54"/>
      <c r="T893" s="54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3"/>
      <c r="S894" s="53"/>
      <c r="T894" s="53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54"/>
      <c r="S895" s="54"/>
      <c r="T895" s="54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3"/>
      <c r="S896" s="53"/>
      <c r="T896" s="53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54"/>
      <c r="S897" s="54"/>
      <c r="T897" s="54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3"/>
      <c r="S898" s="53"/>
      <c r="T898" s="53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54"/>
      <c r="S899" s="54"/>
      <c r="T899" s="54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3"/>
      <c r="S900" s="53"/>
      <c r="T900" s="53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54"/>
      <c r="S901" s="54"/>
      <c r="T901" s="54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3"/>
      <c r="S902" s="53"/>
      <c r="T902" s="53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54"/>
      <c r="S903" s="54"/>
      <c r="T903" s="54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3"/>
      <c r="S904" s="53"/>
      <c r="T904" s="53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54"/>
      <c r="S905" s="54"/>
      <c r="T905" s="54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3"/>
      <c r="S906" s="53"/>
      <c r="T906" s="53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54"/>
      <c r="S907" s="54"/>
      <c r="T907" s="54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3"/>
      <c r="S908" s="53"/>
      <c r="T908" s="53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54"/>
      <c r="S909" s="54"/>
      <c r="T909" s="54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3"/>
      <c r="S910" s="53"/>
      <c r="T910" s="53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54"/>
      <c r="S911" s="54"/>
      <c r="T911" s="54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3"/>
      <c r="S912" s="53"/>
      <c r="T912" s="53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54"/>
      <c r="S913" s="54"/>
      <c r="T913" s="54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3"/>
      <c r="S914" s="53"/>
      <c r="T914" s="53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54"/>
      <c r="S915" s="54"/>
      <c r="T915" s="54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3"/>
      <c r="S916" s="53"/>
      <c r="T916" s="53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54"/>
      <c r="S917" s="54"/>
      <c r="T917" s="54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3"/>
      <c r="S918" s="53"/>
      <c r="T918" s="53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54"/>
      <c r="S919" s="54"/>
      <c r="T919" s="54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3"/>
      <c r="S920" s="53"/>
      <c r="T920" s="53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54"/>
      <c r="S921" s="54"/>
      <c r="T921" s="54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3"/>
      <c r="S922" s="53"/>
      <c r="T922" s="53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54"/>
      <c r="S923" s="54"/>
      <c r="T923" s="54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3"/>
      <c r="S924" s="53"/>
      <c r="T924" s="53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54"/>
      <c r="S925" s="54"/>
      <c r="T925" s="54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3"/>
      <c r="S926" s="53"/>
      <c r="T926" s="53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54"/>
      <c r="S927" s="54"/>
      <c r="T927" s="54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3"/>
      <c r="S928" s="53"/>
      <c r="T928" s="53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54"/>
      <c r="S929" s="54"/>
      <c r="T929" s="54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3"/>
      <c r="S930" s="53"/>
      <c r="T930" s="53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54"/>
      <c r="S931" s="54"/>
      <c r="T931" s="54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3"/>
      <c r="S932" s="53"/>
      <c r="T932" s="53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54"/>
      <c r="S933" s="54"/>
      <c r="T933" s="54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3"/>
      <c r="S934" s="53"/>
      <c r="T934" s="53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54"/>
      <c r="S935" s="54"/>
      <c r="T935" s="54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3"/>
      <c r="S936" s="53"/>
      <c r="T936" s="53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54"/>
      <c r="S937" s="54"/>
      <c r="T937" s="54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3"/>
      <c r="S938" s="53"/>
      <c r="T938" s="53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54"/>
      <c r="S939" s="54"/>
      <c r="T939" s="54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3"/>
      <c r="S940" s="53"/>
      <c r="T940" s="53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54"/>
      <c r="S941" s="54"/>
      <c r="T941" s="54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3"/>
      <c r="S942" s="53"/>
      <c r="T942" s="53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54"/>
      <c r="S943" s="54"/>
      <c r="T943" s="54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3"/>
      <c r="S944" s="53"/>
      <c r="T944" s="53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54"/>
      <c r="S945" s="54"/>
      <c r="T945" s="54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3"/>
      <c r="S946" s="53"/>
      <c r="T946" s="53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54"/>
      <c r="S947" s="54"/>
      <c r="T947" s="54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3"/>
      <c r="S948" s="53"/>
      <c r="T948" s="53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54"/>
      <c r="S949" s="54"/>
      <c r="T949" s="54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3"/>
      <c r="S950" s="53"/>
      <c r="T950" s="53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54"/>
      <c r="S951" s="54"/>
      <c r="T951" s="54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</row>
  </sheetData>
  <mergeCells count="14">
    <mergeCell ref="A18:C20"/>
    <mergeCell ref="A26:C28"/>
    <mergeCell ref="A30:C32"/>
    <mergeCell ref="A34:C36"/>
    <mergeCell ref="X29:AG31"/>
    <mergeCell ref="X33:AG35"/>
    <mergeCell ref="X37:AG39"/>
    <mergeCell ref="B1:C2"/>
    <mergeCell ref="X9:AG11"/>
    <mergeCell ref="X13:AG15"/>
    <mergeCell ref="A14:C16"/>
    <mergeCell ref="X17:AG19"/>
    <mergeCell ref="X21:AG23"/>
    <mergeCell ref="X25:AG27"/>
  </mergeCells>
  <conditionalFormatting sqref="M9:M40">
    <cfRule type="cellIs" dxfId="1" priority="1" operator="lessThan">
      <formula>14.9</formula>
    </cfRule>
  </conditionalFormatting>
  <conditionalFormatting sqref="F9:M40">
    <cfRule type="cellIs" dxfId="1" priority="2" operator="lessThan">
      <formula>23.7</formula>
    </cfRule>
  </conditionalFormatting>
  <conditionalFormatting sqref="F9:H12 I10:M12 F14:M16 F18:M20 F22:M24 F26:M28 F30:M32 F34:M36 F38:M40">
    <cfRule type="cellIs" dxfId="1" priority="3" operator="lessThan">
      <formula>23.7</formula>
    </cfRule>
  </conditionalFormatting>
  <conditionalFormatting sqref="F9:H12 I10:M12 F14:M16 F18:M20 F22:M24 F26:M28 F30:M32 F34:M36 F38:M40">
    <cfRule type="cellIs" dxfId="1" priority="4" operator="lessThan">
      <formula>24</formula>
    </cfRule>
  </conditionalFormatting>
  <conditionalFormatting sqref="F9:M40">
    <cfRule type="cellIs" dxfId="1" priority="5" operator="lessThan">
      <formula>23.7</formula>
    </cfRule>
  </conditionalFormatting>
  <conditionalFormatting sqref="F9:M40">
    <cfRule type="cellIs" dxfId="1" priority="6" operator="lessThan">
      <formula>24</formula>
    </cfRule>
  </conditionalFormatting>
  <dataValidations>
    <dataValidation type="custom" allowBlank="1" showDropDown="1" sqref="S9:T951">
      <formula1>AND(ISNUMBER(S9),(NOT(OR(NOT(ISERROR(DATEVALUE(S9))), AND(ISNUMBER(S9), LEFT(CELL("format", S9))="D")))))</formula1>
    </dataValidation>
    <dataValidation type="list" allowBlank="1" sqref="P9:P40">
      <formula1>"PASSED,DETAINED,PROMOTED"</formula1>
    </dataValidation>
  </dataValidations>
  <printOptions/>
  <pageMargins bottom="0.75" footer="0.0" header="0.0" left="0.7" right="0.7" top="0.75"/>
  <pageSetup orientation="landscape"/>
  <drawing r:id="rId1"/>
</worksheet>
</file>